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c\Desktop\Aplicaciones\Excel\Excel CU Boulder\"/>
    </mc:Choice>
  </mc:AlternateContent>
  <xr:revisionPtr revIDLastSave="0" documentId="13_ncr:1_{0746992E-1E09-4A9B-82F1-E0D5B324D38F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Dynamic Named Ranges" sheetId="1" r:id="rId1"/>
    <sheet name="Excel Tables" sheetId="2" r:id="rId2"/>
    <sheet name="Structured Reference" sheetId="3" r:id="rId3"/>
    <sheet name="Data Validation" sheetId="4" r:id="rId4"/>
    <sheet name="DT - Example 1" sheetId="5" r:id="rId5"/>
    <sheet name="DT - Example 2" sheetId="6" r:id="rId6"/>
    <sheet name="Conditional Formatting" sheetId="7" r:id="rId7"/>
    <sheet name="Checkboxes" sheetId="9" r:id="rId8"/>
    <sheet name="KPIs" sheetId="10" r:id="rId9"/>
  </sheets>
  <definedNames>
    <definedName name="animal">'Conditional Formatting'!$F$3</definedName>
    <definedName name="continent">'Conditional Formatting'!$F$5</definedName>
    <definedName name="name">'DT - Example 1'!$F$6</definedName>
    <definedName name="names">OFFSET('DT - Example 1'!$A$2,0,0,COUNTA('DT - Example 1'!$A:$A)-1,1)</definedName>
    <definedName name="price">OFFSET('Dynamic Named Ranges'!$C$4,0,0,COUNTA('Dynamic Named Ranges'!$B:$B)-1,1)</definedName>
    <definedName name="product">OFFSET('Dynamic Named Ranges'!$B$4,0,0,COUNTA('Dynamic Named Ranges'!$B:$B)-1,1)</definedName>
    <definedName name="quantity">OFFSET('Dynamic Named Ranges'!$D$4,0,0,COUNTA('Dynamic Named Ranges'!$B:$B)-1,1)</definedName>
    <definedName name="revenew">OFFSET('Dynamic Named Ranges'!$E$4,0,0,COUNTA('Dynamic Named Ranges'!$B:$B)-1,1)</definedName>
    <definedName name="scores">OFFSET('DT - Example 1'!$B$2,0,0,COUNTA('DT - Example 1'!$A:$A)-1,1)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9" l="1"/>
  <c r="I37" i="7"/>
  <c r="J37" i="7"/>
  <c r="K37" i="7"/>
  <c r="L37" i="7"/>
  <c r="I38" i="7"/>
  <c r="J38" i="7"/>
  <c r="K38" i="7"/>
  <c r="L38" i="7"/>
  <c r="I39" i="7"/>
  <c r="J39" i="7"/>
  <c r="K39" i="7"/>
  <c r="L39" i="7"/>
  <c r="I40" i="7"/>
  <c r="J40" i="7"/>
  <c r="K40" i="7"/>
  <c r="L40" i="7"/>
  <c r="I41" i="7"/>
  <c r="J41" i="7"/>
  <c r="K41" i="7"/>
  <c r="L41" i="7"/>
  <c r="I42" i="7"/>
  <c r="J42" i="7"/>
  <c r="K42" i="7"/>
  <c r="L42" i="7"/>
  <c r="I43" i="7"/>
  <c r="J43" i="7"/>
  <c r="K43" i="7"/>
  <c r="L43" i="7"/>
  <c r="I44" i="7"/>
  <c r="J44" i="7"/>
  <c r="K44" i="7"/>
  <c r="L44" i="7"/>
  <c r="I45" i="7"/>
  <c r="J45" i="7"/>
  <c r="K45" i="7"/>
  <c r="L45" i="7"/>
  <c r="I46" i="7"/>
  <c r="J46" i="7"/>
  <c r="K46" i="7"/>
  <c r="L46" i="7"/>
  <c r="C18" i="6"/>
  <c r="F18" i="6" s="1"/>
  <c r="C17" i="6"/>
  <c r="F17" i="6" s="1"/>
  <c r="C16" i="6"/>
  <c r="F16" i="6" s="1"/>
  <c r="C6" i="6"/>
  <c r="F6" i="6" s="1"/>
  <c r="C7" i="6"/>
  <c r="F7" i="6" s="1"/>
  <c r="C8" i="6"/>
  <c r="F8" i="6" s="1"/>
  <c r="C9" i="6"/>
  <c r="F9" i="6" s="1"/>
  <c r="C10" i="6"/>
  <c r="F10" i="6" s="1"/>
  <c r="C11" i="6"/>
  <c r="F11" i="6" s="1"/>
  <c r="C12" i="6"/>
  <c r="F12" i="6" s="1"/>
  <c r="C13" i="6"/>
  <c r="F13" i="6" s="1"/>
  <c r="C14" i="6"/>
  <c r="F14" i="6" s="1"/>
  <c r="C15" i="6"/>
  <c r="F15" i="6" s="1"/>
  <c r="D19" i="6"/>
  <c r="I6" i="5" a="1"/>
  <c r="I6" i="5" s="1"/>
  <c r="F7" i="5" a="1"/>
  <c r="F7" i="5" s="1"/>
  <c r="D12" i="3"/>
  <c r="F4" i="3" a="1"/>
  <c r="F4" i="3" s="1"/>
  <c r="L16" i="3"/>
  <c r="I16" i="3" a="1"/>
  <c r="I16" i="3" s="1"/>
  <c r="N13" i="3" a="1"/>
  <c r="N13" i="3" s="1"/>
  <c r="N4" i="3" a="1"/>
  <c r="N4" i="3" s="1"/>
  <c r="I13" i="3" a="1"/>
  <c r="I13" i="3" s="1"/>
  <c r="D9" i="3"/>
  <c r="D4" i="3"/>
  <c r="D5" i="3"/>
  <c r="D6" i="3"/>
  <c r="D7" i="3"/>
  <c r="D8" i="3"/>
  <c r="C9" i="3"/>
  <c r="E14" i="3" a="1"/>
  <c r="E14" i="3" s="1"/>
  <c r="C15" i="3" a="1"/>
  <c r="C15" i="3" s="1"/>
  <c r="E18" i="2"/>
  <c r="E19" i="2"/>
  <c r="E20" i="2"/>
  <c r="E21" i="2"/>
  <c r="E22" i="2"/>
  <c r="E23" i="2"/>
  <c r="E24" i="2"/>
  <c r="E25" i="2"/>
  <c r="E26" i="2"/>
  <c r="E27" i="2"/>
  <c r="D3" i="2"/>
  <c r="D6" i="2"/>
  <c r="D8" i="2"/>
  <c r="D10" i="2"/>
  <c r="D7" i="2"/>
  <c r="D5" i="2"/>
  <c r="D9" i="2"/>
  <c r="D4" i="2"/>
  <c r="D2" i="2"/>
  <c r="E4" i="1" a="1"/>
  <c r="E4" i="1" s="1"/>
  <c r="F19" i="6" l="1"/>
  <c r="I4" i="3" a="1"/>
  <c r="I4" i="3" s="1"/>
  <c r="I2" i="2"/>
  <c r="D11" i="2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<sst xmlns="http://schemas.openxmlformats.org/spreadsheetml/2006/main" count="206" uniqueCount="127">
  <si>
    <t>Dynamic Named Ranges</t>
  </si>
  <si>
    <t>Product</t>
  </si>
  <si>
    <t>Price</t>
  </si>
  <si>
    <t>Quantity</t>
  </si>
  <si>
    <t>Apples</t>
  </si>
  <si>
    <t>Bananas</t>
  </si>
  <si>
    <t>Cherries</t>
  </si>
  <si>
    <t>Dates</t>
  </si>
  <si>
    <t>Elderberries</t>
  </si>
  <si>
    <t>Figs</t>
  </si>
  <si>
    <t>Revenue</t>
  </si>
  <si>
    <t>Total of Revenue:</t>
  </si>
  <si>
    <t>Grapes</t>
  </si>
  <si>
    <t>Watermelon</t>
  </si>
  <si>
    <t>Total Revenue:</t>
  </si>
  <si>
    <t>Total</t>
  </si>
  <si>
    <t>Order ID</t>
  </si>
  <si>
    <t>Order Total</t>
  </si>
  <si>
    <t>Country</t>
  </si>
  <si>
    <t>USA</t>
  </si>
  <si>
    <t>Canada</t>
  </si>
  <si>
    <t>Mexico</t>
  </si>
  <si>
    <t>Free Shiping</t>
  </si>
  <si>
    <t>Free shipping inside the United States, but only if the order total is greater than $100</t>
  </si>
  <si>
    <t>Structured References</t>
  </si>
  <si>
    <t>(Same as "Sales")</t>
  </si>
  <si>
    <t>Average Revenue:</t>
  </si>
  <si>
    <t>Whole number between 50 and 100:</t>
  </si>
  <si>
    <t>Percentage between 0 and 100%:</t>
  </si>
  <si>
    <t>Positive numbers:</t>
  </si>
  <si>
    <t>Only dates in the current year:</t>
  </si>
  <si>
    <t>Date</t>
  </si>
  <si>
    <t>Sales</t>
  </si>
  <si>
    <t>Name</t>
  </si>
  <si>
    <t>Score</t>
  </si>
  <si>
    <t>Doc</t>
  </si>
  <si>
    <t>Constraint: We cannot have duplicates in the Name column!</t>
  </si>
  <si>
    <t>Grumpy</t>
  </si>
  <si>
    <t>Happy</t>
  </si>
  <si>
    <t>Sleepy</t>
  </si>
  <si>
    <t>Score Lookup</t>
  </si>
  <si>
    <t>Bashful</t>
  </si>
  <si>
    <t>Name:</t>
  </si>
  <si>
    <t>Sneezy</t>
  </si>
  <si>
    <t>Score:</t>
  </si>
  <si>
    <t>Dopey</t>
  </si>
  <si>
    <t>Snow White</t>
  </si>
  <si>
    <t>Pit</t>
  </si>
  <si>
    <t>Charlie</t>
  </si>
  <si>
    <t>Angela</t>
  </si>
  <si>
    <t>Liz</t>
  </si>
  <si>
    <t>Arthur</t>
  </si>
  <si>
    <t>Time Sheets</t>
  </si>
  <si>
    <t>Period Begin:</t>
  </si>
  <si>
    <t>Period End:</t>
  </si>
  <si>
    <t>Employee</t>
  </si>
  <si>
    <t>Rate</t>
  </si>
  <si>
    <t>Hours</t>
  </si>
  <si>
    <t>Overtime?</t>
  </si>
  <si>
    <t>Pay</t>
  </si>
  <si>
    <t>Carrie</t>
  </si>
  <si>
    <t>Mary</t>
  </si>
  <si>
    <t>Jerry</t>
  </si>
  <si>
    <t>Y</t>
  </si>
  <si>
    <t>Perry</t>
  </si>
  <si>
    <t>Terry</t>
  </si>
  <si>
    <t>Harry</t>
  </si>
  <si>
    <t>Larry</t>
  </si>
  <si>
    <t>Gary</t>
  </si>
  <si>
    <t>Barry</t>
  </si>
  <si>
    <t>Animal</t>
  </si>
  <si>
    <t>Gestation Period</t>
  </si>
  <si>
    <t>Continent</t>
  </si>
  <si>
    <t>Bison</t>
  </si>
  <si>
    <t>North America</t>
  </si>
  <si>
    <t>Lion</t>
  </si>
  <si>
    <t>Africa</t>
  </si>
  <si>
    <t>Kangaroo</t>
  </si>
  <si>
    <t>Red squirrel</t>
  </si>
  <si>
    <t>Europe</t>
  </si>
  <si>
    <t>Platypus</t>
  </si>
  <si>
    <t>Australia</t>
  </si>
  <si>
    <t>Moose</t>
  </si>
  <si>
    <t>Camel</t>
  </si>
  <si>
    <t>Tiger</t>
  </si>
  <si>
    <t>Asia</t>
  </si>
  <si>
    <t>Panda</t>
  </si>
  <si>
    <t>Anteater</t>
  </si>
  <si>
    <t>South America</t>
  </si>
  <si>
    <t>Cobra</t>
  </si>
  <si>
    <t>Beaver</t>
  </si>
  <si>
    <t>Koala</t>
  </si>
  <si>
    <t>Water buffalo</t>
  </si>
  <si>
    <t>Wild boar</t>
  </si>
  <si>
    <t>Llama</t>
  </si>
  <si>
    <t>Stork</t>
  </si>
  <si>
    <t>Elephant</t>
  </si>
  <si>
    <t>Armadillo</t>
  </si>
  <si>
    <t>Bald eagle</t>
  </si>
  <si>
    <t>Horse</t>
  </si>
  <si>
    <t>Deer mouse</t>
  </si>
  <si>
    <t>Financial Reconciliation</t>
  </si>
  <si>
    <t>Internal Records</t>
  </si>
  <si>
    <t>Bank Statement</t>
  </si>
  <si>
    <t>Amount</t>
  </si>
  <si>
    <t>To Do List</t>
  </si>
  <si>
    <t>Do Laundry</t>
  </si>
  <si>
    <t>Clean Bedroom</t>
  </si>
  <si>
    <t>Math Homework</t>
  </si>
  <si>
    <t>Call Grandma</t>
  </si>
  <si>
    <t>Oil Change</t>
  </si>
  <si>
    <t>Items Completed:</t>
  </si>
  <si>
    <t>Key Performance Indicators (KPI)</t>
  </si>
  <si>
    <t>Project</t>
  </si>
  <si>
    <t>Customer Satisfaction</t>
  </si>
  <si>
    <t>Product Quality</t>
  </si>
  <si>
    <t>Delivery Time</t>
  </si>
  <si>
    <t>Mobile App Redesign</t>
  </si>
  <si>
    <t>Website Revamp</t>
  </si>
  <si>
    <t>CRM Implementation</t>
  </si>
  <si>
    <t>Cloud Migration</t>
  </si>
  <si>
    <t>Cybersecurity Upgrade</t>
  </si>
  <si>
    <t>Data Analytics Platform</t>
  </si>
  <si>
    <t>AI Chatbot Deployment</t>
  </si>
  <si>
    <t>E-commerce Expansion</t>
  </si>
  <si>
    <t>HR System Upgrade</t>
  </si>
  <si>
    <t>Supply Chain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</si>
</sst>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&quot;$&quot;* #,##0.00_);_(&quot;$&quot;* \(#,##0.00\);_(&quot;$&quot;* &quot;-&quot;??_);_(@_)"/>
    <numFmt numFmtId="16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Segoe U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NumberFormat="1"/>
    <xf numFmtId="164" fontId="0" fillId="0" borderId="0" xfId="0" applyNumberFormat="1"/>
    <xf numFmtId="0" fontId="3" fillId="0" borderId="0" xfId="2" applyFill="1"/>
    <xf numFmtId="0" fontId="3" fillId="0" borderId="0" xfId="0" applyNumberFormat="1" applyFont="1" applyFill="1" applyBorder="1" applyAlignment="1" applyProtection="1"/>
    <xf numFmtId="0" fontId="3" fillId="0" borderId="0" xfId="2"/>
    <xf numFmtId="0" fontId="4" fillId="0" borderId="0" xfId="2" applyFont="1" applyAlignment="1">
      <alignment horizontal="center" vertical="center"/>
    </xf>
    <xf numFmtId="0" fontId="4" fillId="0" borderId="0" xfId="2" applyFont="1" applyFill="1" applyAlignment="1">
      <alignment horizontal="center" vertical="center" wrapText="1"/>
    </xf>
    <xf numFmtId="0" fontId="3" fillId="0" borderId="0" xfId="2"/>
    <xf numFmtId="0" fontId="3" fillId="0" borderId="0" xfId="3" applyFont="1"/>
    <xf numFmtId="165" fontId="3" fillId="0" borderId="0" xfId="5" applyFont="1"/>
    <xf numFmtId="165" fontId="3" fillId="0" borderId="0" xfId="2" applyNumberFormat="1"/>
    <xf numFmtId="0" fontId="3" fillId="0" borderId="1" xfId="2" applyBorder="1"/>
    <xf numFmtId="0" fontId="3" fillId="0" borderId="4" xfId="2" applyBorder="1"/>
    <xf numFmtId="0" fontId="3" fillId="0" borderId="2" xfId="2" applyBorder="1"/>
    <xf numFmtId="0" fontId="3" fillId="0" borderId="5" xfId="2" applyBorder="1"/>
    <xf numFmtId="0" fontId="3" fillId="0" borderId="6" xfId="2" applyBorder="1"/>
    <xf numFmtId="0" fontId="3" fillId="0" borderId="7" xfId="2" applyBorder="1"/>
    <xf numFmtId="0" fontId="3" fillId="0" borderId="8" xfId="2" applyBorder="1"/>
    <xf numFmtId="0" fontId="3" fillId="0" borderId="9" xfId="2" applyBorder="1"/>
    <xf numFmtId="0" fontId="3" fillId="0" borderId="10" xfId="2" applyBorder="1"/>
    <xf numFmtId="165" fontId="3" fillId="0" borderId="1" xfId="2" applyNumberFormat="1" applyBorder="1"/>
    <xf numFmtId="165" fontId="3" fillId="0" borderId="4" xfId="2" applyNumberFormat="1" applyBorder="1"/>
    <xf numFmtId="165" fontId="3" fillId="0" borderId="2" xfId="2" applyNumberFormat="1" applyBorder="1"/>
    <xf numFmtId="0" fontId="3" fillId="0" borderId="11" xfId="2" applyBorder="1"/>
    <xf numFmtId="0" fontId="3" fillId="0" borderId="12" xfId="2" applyBorder="1"/>
    <xf numFmtId="0" fontId="3" fillId="0" borderId="13" xfId="2" applyBorder="1"/>
    <xf numFmtId="0" fontId="3" fillId="0" borderId="14" xfId="2" applyBorder="1"/>
    <xf numFmtId="0" fontId="3" fillId="0" borderId="15" xfId="2" applyBorder="1"/>
    <xf numFmtId="0" fontId="4" fillId="0" borderId="0" xfId="2" applyFont="1"/>
    <xf numFmtId="0" fontId="3" fillId="0" borderId="14" xfId="2" applyBorder="1" applyAlignment="1">
      <alignment horizontal="right"/>
    </xf>
    <xf numFmtId="165" fontId="3" fillId="0" borderId="15" xfId="5" applyFont="1" applyBorder="1"/>
    <xf numFmtId="165" fontId="0" fillId="0" borderId="0" xfId="0" applyNumberFormat="1"/>
    <xf numFmtId="0" fontId="3" fillId="0" borderId="0" xfId="0" applyNumberFormat="1" applyFont="1"/>
    <xf numFmtId="165" fontId="3" fillId="0" borderId="3" xfId="2" applyNumberFormat="1" applyBorder="1"/>
    <xf numFmtId="0" fontId="0" fillId="0" borderId="0" xfId="0"/>
    <xf numFmtId="0" fontId="0" fillId="0" borderId="9" xfId="0" applyBorder="1"/>
    <xf numFmtId="0" fontId="0" fillId="0" borderId="7" xfId="0" applyBorder="1"/>
    <xf numFmtId="0" fontId="0" fillId="0" borderId="3" xfId="0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14" fontId="0" fillId="0" borderId="7" xfId="0" applyNumberFormat="1" applyBorder="1"/>
    <xf numFmtId="166" fontId="0" fillId="0" borderId="8" xfId="0" applyNumberFormat="1" applyBorder="1"/>
    <xf numFmtId="166" fontId="0" fillId="0" borderId="10" xfId="0" applyNumberFormat="1" applyBorder="1"/>
    <xf numFmtId="14" fontId="0" fillId="0" borderId="3" xfId="0" applyNumberFormat="1" applyBorder="1"/>
    <xf numFmtId="9" fontId="0" fillId="0" borderId="3" xfId="1" applyFont="1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/>
    <xf numFmtId="0" fontId="2" fillId="0" borderId="0" xfId="0" applyFont="1"/>
    <xf numFmtId="14" fontId="0" fillId="0" borderId="0" xfId="0" applyNumberFormat="1"/>
    <xf numFmtId="165" fontId="0" fillId="0" borderId="0" xfId="6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 applyFont="1"/>
    <xf numFmtId="165" fontId="0" fillId="0" borderId="0" xfId="6" applyNumberFormat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2" xfId="2" applyFont="1" applyBorder="1" applyAlignment="1">
      <alignment horizontal="center"/>
    </xf>
    <xf numFmtId="0" fontId="4" fillId="0" borderId="21" xfId="2" applyFont="1" applyBorder="1" applyAlignment="1">
      <alignment horizontal="center"/>
    </xf>
    <xf numFmtId="0" fontId="0" fillId="0" borderId="0" xfId="0"/>
    <xf numFmtId="0" fontId="0" fillId="0" borderId="13" xfId="0" applyBorder="1"/>
    <xf numFmtId="0" fontId="0" fillId="0" borderId="15" xfId="0" applyBorder="1"/>
    <xf numFmtId="0" fontId="0" fillId="0" borderId="0" xfId="0"/>
    <xf numFmtId="0" fontId="3" fillId="0" borderId="16" xfId="2" applyBorder="1" applyAlignment="1">
      <alignment vertical="center" wrapText="1"/>
    </xf>
    <xf numFmtId="14" fontId="3" fillId="0" borderId="17" xfId="2" applyNumberFormat="1" applyBorder="1"/>
    <xf numFmtId="14" fontId="3" fillId="0" borderId="18" xfId="2" applyNumberFormat="1" applyBorder="1"/>
    <xf numFmtId="0" fontId="3" fillId="0" borderId="19" xfId="2" applyBorder="1" applyAlignment="1">
      <alignment vertical="center" wrapText="1"/>
    </xf>
    <xf numFmtId="14" fontId="3" fillId="0" borderId="0" xfId="2" applyNumberFormat="1"/>
    <xf numFmtId="14" fontId="3" fillId="0" borderId="20" xfId="2" applyNumberFormat="1" applyBorder="1"/>
    <xf numFmtId="14" fontId="3" fillId="0" borderId="0" xfId="2" applyNumberFormat="1" applyAlignment="1">
      <alignment vertical="center" wrapText="1"/>
    </xf>
    <xf numFmtId="14" fontId="3" fillId="0" borderId="20" xfId="2" applyNumberFormat="1" applyBorder="1" applyAlignment="1">
      <alignment vertical="center" wrapText="1"/>
    </xf>
    <xf numFmtId="0" fontId="4" fillId="0" borderId="19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20" xfId="2" applyFont="1" applyBorder="1" applyAlignment="1">
      <alignment horizontal="left" vertical="center" wrapText="1"/>
    </xf>
    <xf numFmtId="0" fontId="3" fillId="0" borderId="19" xfId="2" applyBorder="1"/>
    <xf numFmtId="0" fontId="3" fillId="0" borderId="20" xfId="2" applyBorder="1"/>
    <xf numFmtId="0" fontId="4" fillId="0" borderId="0" xfId="2" applyFont="1"/>
    <xf numFmtId="0" fontId="3" fillId="0" borderId="0" xfId="2" applyFont="1"/>
    <xf numFmtId="0" fontId="4" fillId="0" borderId="23" xfId="2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3" fillId="0" borderId="0" xfId="2"/>
    <xf numFmtId="0" fontId="6" fillId="0" borderId="0" xfId="2" applyFont="1"/>
    <xf numFmtId="0" fontId="3" fillId="0" borderId="0" xfId="2" applyAlignment="1">
      <alignment horizontal="left"/>
    </xf>
    <xf numFmtId="0" fontId="3" fillId="0" borderId="0" xfId="2"/>
    <xf numFmtId="0" fontId="4" fillId="0" borderId="0" xfId="2" applyFont="1"/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center" vertical="center" wrapText="1"/>
    </xf>
  </cellXfs>
  <cellStyles count="7">
    <cellStyle name="Currency 2" xfId="4" xr:uid="{910DC4DF-3588-462F-99E9-EF14A8B6FB5A}"/>
    <cellStyle name="Moneda 2" xfId="5" xr:uid="{A8D94F53-23E2-4007-A835-C7925FF51E97}"/>
    <cellStyle name="Moneda 3" xfId="6" xr:uid="{20A30D38-C04E-4615-B3D8-20BFDC61436B}"/>
    <cellStyle name="Normal" xfId="0" builtinId="0"/>
    <cellStyle name="Normal 2" xfId="2" xr:uid="{7FECF697-85D5-4A7D-B6E8-5B5C8BB77085}"/>
    <cellStyle name="Normal 2 2" xfId="3" xr:uid="{E311AAD5-43E9-4B25-903A-4375AE3B8DAA}"/>
    <cellStyle name="Porcentaje" xfId="1" builtinId="5"/>
  </cellStyles>
  <dxfs count="34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strike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G3" lockText="1" noThreeD="1"/>
</file>

<file path=xl/ctrlProps/ctrlProp2.xml><?xml version="1.0" encoding="utf-8"?>
<formControlPr xmlns="http://schemas.microsoft.com/office/spreadsheetml/2009/9/main" objectType="CheckBox" checked="Checked" fmlaLink="G4" lockText="1" noThreeD="1"/>
</file>

<file path=xl/ctrlProps/ctrlProp3.xml><?xml version="1.0" encoding="utf-8"?>
<formControlPr xmlns="http://schemas.microsoft.com/office/spreadsheetml/2009/9/main" objectType="CheckBox" checked="Checked" fmlaLink="G5" lockText="1" noThreeD="1"/>
</file>

<file path=xl/ctrlProps/ctrlProp4.xml><?xml version="1.0" encoding="utf-8"?>
<formControlPr xmlns="http://schemas.microsoft.com/office/spreadsheetml/2009/9/main" objectType="CheckBox" checked="Checked" fmlaLink="G6" lockText="1" noThreeD="1"/>
</file>

<file path=xl/ctrlProps/ctrlProp5.xml><?xml version="1.0" encoding="utf-8"?>
<formControlPr xmlns="http://schemas.microsoft.com/office/spreadsheetml/2009/9/main" objectType="CheckBox" checked="Checked" fmlaLink="G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</xdr:row>
          <xdr:rowOff>180975</xdr:rowOff>
        </xdr:from>
        <xdr:to>
          <xdr:col>4</xdr:col>
          <xdr:colOff>238125</xdr:colOff>
          <xdr:row>3</xdr:row>
          <xdr:rowOff>19050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542925</xdr:colOff>
          <xdr:row>2</xdr:row>
          <xdr:rowOff>180975</xdr:rowOff>
        </xdr:from>
        <xdr:to>
          <xdr:col>4</xdr:col>
          <xdr:colOff>247650</xdr:colOff>
          <xdr:row>4</xdr:row>
          <xdr:rowOff>19050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EC18571B-C138-4062-BFE7-9C7FF4A3B6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542925</xdr:colOff>
          <xdr:row>3</xdr:row>
          <xdr:rowOff>180975</xdr:rowOff>
        </xdr:from>
        <xdr:to>
          <xdr:col>4</xdr:col>
          <xdr:colOff>247650</xdr:colOff>
          <xdr:row>5</xdr:row>
          <xdr:rowOff>19050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FA599418-C01A-4F54-9080-F33364B4E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4</xdr:row>
          <xdr:rowOff>171450</xdr:rowOff>
        </xdr:from>
        <xdr:to>
          <xdr:col>4</xdr:col>
          <xdr:colOff>238125</xdr:colOff>
          <xdr:row>6</xdr:row>
          <xdr:rowOff>9525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356B3FD4-E255-4418-A25A-78DB42D45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542925</xdr:colOff>
          <xdr:row>5</xdr:row>
          <xdr:rowOff>171450</xdr:rowOff>
        </xdr:from>
        <xdr:to>
          <xdr:col>4</xdr:col>
          <xdr:colOff>247650</xdr:colOff>
          <xdr:row>7</xdr:row>
          <xdr:rowOff>9525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5EEC9446-7CA8-4BF9-9594-7EB2C0C7C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F2597-30D3-4E96-9B68-6849E7DF6537}" name="Tabla2" displayName="Tabla2" ref="A1:D11" totalsRowCount="1" headerRowDxfId="33" headerRowCellStyle="Normal 2" dataCellStyle="Normal 2">
  <autoFilter ref="A1:D10" xr:uid="{554F2597-30D3-4E96-9B68-6849E7DF6537}"/>
  <sortState xmlns:xlrd2="http://schemas.microsoft.com/office/spreadsheetml/2017/richdata2" ref="A2:D10">
    <sortCondition descending="1" ref="D1:D10"/>
  </sortState>
  <tableColumns count="4">
    <tableColumn id="1" xr3:uid="{43889D1A-02A5-48CE-B1CE-7BD4DEA266DF}" name="Product" totalsRowLabel="Total" totalsRowDxfId="32" dataCellStyle="Normal 2"/>
    <tableColumn id="2" xr3:uid="{33F1F893-636B-4A50-90B1-D68AF51D63DA}" name="Price" totalsRowDxfId="31" dataCellStyle="Normal 2"/>
    <tableColumn id="3" xr3:uid="{DB6941A8-A6B6-4D6F-A96F-B19B2D5D9DE2}" name="Quantity" totalsRowDxfId="30" dataCellStyle="Normal 2"/>
    <tableColumn id="4" xr3:uid="{BFA73E7B-2B19-4EF1-B210-2EC4505E2BE6}" name="Revenue" totalsRowFunction="sum" dataDxfId="29">
      <calculatedColumnFormula>Tabla2[[#This Row],[Price]]*Tabla2[[#This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FC4E5B-0467-402D-8536-894A38A1913F}" name="Tabla3" displayName="Tabla3" ref="B17:E27" totalsRowShown="0" headerRowDxfId="28" headerRowCellStyle="Normal 2" dataCellStyle="Normal 2">
  <autoFilter ref="B17:E27" xr:uid="{73FC4E5B-0467-402D-8536-894A38A1913F}"/>
  <tableColumns count="4">
    <tableColumn id="1" xr3:uid="{7FD58A4D-55C3-49DF-BD7B-2618E16A673E}" name="Order ID" dataCellStyle="Normal 2"/>
    <tableColumn id="2" xr3:uid="{6EDB715F-0C52-43BE-A6D0-01903D1B7468}" name="Order Total" dataCellStyle="Normal 2"/>
    <tableColumn id="3" xr3:uid="{2DA29DAE-7CAF-4F5D-8CE1-5682F5DA3F59}" name="Country" dataCellStyle="Normal 2"/>
    <tableColumn id="4" xr3:uid="{0C0DEBEB-343F-449B-8E20-637FD735A076}" name="Free Shiping" dataDxfId="27" dataCellStyle="Normal 2">
      <calculatedColumnFormula>IF(AND(Tabla3[[#This Row],[Order Total]]&gt;100,Tabla3[[#This Row],[Country]]="USA"),"Yes","No")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381CD3-1954-4C4C-9E19-D228BCF4207D}" name="Tabla4" displayName="Tabla4" ref="A3:D9" totalsRowCount="1" headerRowCellStyle="Normal 2">
  <autoFilter ref="A3:D8" xr:uid="{F5381CD3-1954-4C4C-9E19-D228BCF4207D}"/>
  <tableColumns count="4">
    <tableColumn id="1" xr3:uid="{66436BD9-60B9-4D90-93F9-C4F6D7251DFD}" name="Product" totalsRowLabel="Total" totalsRowDxfId="26" dataCellStyle="Normal 2"/>
    <tableColumn id="2" xr3:uid="{26BA1081-9B39-4CFA-9399-3393902143F5}" name="Price" dataDxfId="25" totalsRowDxfId="24" dataCellStyle="Moneda 2"/>
    <tableColumn id="3" xr3:uid="{8CFE4B1E-98DD-4474-9639-74A07A4F8E44}" name="Quantity" totalsRowFunction="sum" totalsRowDxfId="23" dataCellStyle="Normal 2"/>
    <tableColumn id="4" xr3:uid="{D1B6830C-6BD9-48B0-AA6B-54C5CF91F9A1}" name="Revenue" totalsRowFunction="sum" dataDxfId="22" dataCellStyle="Normal 2">
      <calculatedColumnFormula>Tabla4[[#This Row],[Price]]*Tabla4[[#This Row],[Quantity]]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777C78-17C0-4C26-AAFE-D33E4F060CE4}" name="Tabla5" displayName="Tabla5" ref="A1:B14" totalsRowShown="0" headerRowDxfId="21">
  <autoFilter ref="A1:B14" xr:uid="{65777C78-17C0-4C26-AAFE-D33E4F060CE4}"/>
  <tableColumns count="2">
    <tableColumn id="1" xr3:uid="{163C337D-43E3-4183-8565-192C95C35E7E}" name="Name"/>
    <tableColumn id="2" xr3:uid="{909F544B-77B3-4B41-A641-75B7DE081A1D}" name="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3AFFE9-718C-4FC6-9A11-A15C9369F84E}" name="TimeTable" displayName="TimeTable" ref="A5:F19" totalsRowCount="1" headerRowDxfId="20">
  <autoFilter ref="A5:F18" xr:uid="{293AFFE9-718C-4FC6-9A11-A15C9369F84E}"/>
  <tableColumns count="6">
    <tableColumn id="1" xr3:uid="{007303C2-D099-4126-A638-B897C5A73A38}" name="Date" totalsRowLabel="Total" dataDxfId="19"/>
    <tableColumn id="2" xr3:uid="{FECE88E7-6F95-4839-B11A-DBA53C0D72B9}" name="Employee"/>
    <tableColumn id="3" xr3:uid="{0FB385DA-6269-4651-962D-0F4FFBB8936B}" name="Rate" dataDxfId="18" totalsRowDxfId="17" dataCellStyle="Moneda 3">
      <calculatedColumnFormula>_xlfn.XLOOKUP(TimeTable[[#This Row],[Employee]],RateTable[Employee],RateTable[Rate])</calculatedColumnFormula>
    </tableColumn>
    <tableColumn id="4" xr3:uid="{032A850D-AB0A-45DE-9091-F7B32DE32630}" name="Hours" totalsRowFunction="sum" dataDxfId="16" totalsRowDxfId="15"/>
    <tableColumn id="5" xr3:uid="{7D12064F-E46B-47B6-95BC-AA6F7D67A930}" name="Overtime?" dataDxfId="14" totalsRowDxfId="13"/>
    <tableColumn id="6" xr3:uid="{8293D12F-A93F-4EFA-95BF-E30E2A15F03B}" name="Pay" totalsRowFunction="count" dataDxfId="12" totalsRowDxfId="11" dataCellStyle="Moneda 3">
      <calculatedColumnFormula>IF(TimeTable[[#This Row],[Overtime?]]="Y",TimeTable[[#This Row],[Rate]]*TimeTable[[#This Row],[Hours]]*1.5,TimeTable[[#This Row],[Hours]]*TimeTable[[#This Row],[Rate]])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C37859-B014-49AB-8A64-57EA7BE977D8}" name="RateTable" displayName="RateTable" ref="J8:K17" totalsRowShown="0" headerRowDxfId="10">
  <autoFilter ref="J8:K17" xr:uid="{F0C37859-B014-49AB-8A64-57EA7BE977D8}"/>
  <tableColumns count="2">
    <tableColumn id="1" xr3:uid="{3DA9CBF8-9F7B-4F08-99BE-174907E09266}" name="Employee"/>
    <tableColumn id="2" xr3:uid="{75D23168-5080-4F41-8DB6-B7DBADD7ECF4}" name="Rate" dataDxfId="9" dataCellStyle="Moneda 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06DDC-5EB9-4C16-99D7-E96AB18D2F11}" name="Tabla1" displayName="Tabla1" ref="A1:C23" totalsRowShown="0" headerRowDxfId="8">
  <autoFilter ref="A1:C23" xr:uid="{82706DDC-5EB9-4C16-99D7-E96AB18D2F11}"/>
  <tableColumns count="3">
    <tableColumn id="1" xr3:uid="{7F06D0E8-2496-4CFC-93E4-278752B3B99A}" name="Animal"/>
    <tableColumn id="2" xr3:uid="{BC5AB0DD-0143-48CF-AF9B-43E100FC2E9D}" name="Gestation Period"/>
    <tableColumn id="3" xr3:uid="{BE734C93-C3F7-4998-883A-87D08F84B89F}" name="Continen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682281-53EC-469C-8381-90BC1984DC8A}" name="Tabla8" displayName="Tabla8" ref="A3:E13" totalsRowShown="0" headerRowDxfId="7" headerRowCellStyle="Normal 2" dataCellStyle="Normal 2">
  <autoFilter ref="A3:E13" xr:uid="{2D682281-53EC-469C-8381-90BC1984DC8A}"/>
  <tableColumns count="5">
    <tableColumn id="1" xr3:uid="{4CF1FB72-5104-4F2F-B012-87F743CF35F7}" name="Project" dataCellStyle="Normal 2"/>
    <tableColumn id="2" xr3:uid="{D9AB9133-593A-4C57-A995-A4D67840AF99}" name="Sales" dataCellStyle="Normal 2"/>
    <tableColumn id="3" xr3:uid="{CE6F4F26-3F4F-44E1-8E77-CB3CC9786BB8}" name="Customer Satisfaction" dataCellStyle="Normal 2"/>
    <tableColumn id="4" xr3:uid="{75687E87-7488-4CDC-9574-4BC48289D030}" name="Product Quality" dataCellStyle="Normal 2"/>
    <tableColumn id="5" xr3:uid="{8E9232C5-38A2-4B50-B5AD-193BEDE4ACE3}" name="Delivery Tim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M15"/>
  <sheetViews>
    <sheetView workbookViewId="0">
      <selection activeCell="G3" sqref="G3:H3"/>
    </sheetView>
  </sheetViews>
  <sheetFormatPr baseColWidth="10" defaultColWidth="9.140625" defaultRowHeight="15" x14ac:dyDescent="0.25"/>
  <cols>
    <col min="5" max="5" width="20.28515625" bestFit="1" customWidth="1"/>
    <col min="9" max="9" width="11.85546875" bestFit="1" customWidth="1"/>
  </cols>
  <sheetData>
    <row r="1" spans="1:13" x14ac:dyDescent="0.25">
      <c r="A1" s="2" t="s">
        <v>0</v>
      </c>
      <c r="B1" s="1"/>
      <c r="C1" s="1"/>
      <c r="D1" s="1"/>
    </row>
    <row r="3" spans="1:13" x14ac:dyDescent="0.25">
      <c r="A3" s="1"/>
      <c r="B3" s="2" t="s">
        <v>1</v>
      </c>
      <c r="C3" s="2" t="s">
        <v>2</v>
      </c>
      <c r="D3" s="2" t="s">
        <v>3</v>
      </c>
      <c r="E3" s="2" t="s">
        <v>10</v>
      </c>
      <c r="G3" s="67" t="s">
        <v>11</v>
      </c>
      <c r="H3" s="67"/>
      <c r="I3">
        <f ca="1">SUM(revenew)</f>
        <v>13530</v>
      </c>
    </row>
    <row r="4" spans="1:13" x14ac:dyDescent="0.25">
      <c r="A4" s="1"/>
      <c r="B4" s="1" t="s">
        <v>4</v>
      </c>
      <c r="C4" s="1">
        <v>1.2</v>
      </c>
      <c r="D4" s="1">
        <v>100</v>
      </c>
      <c r="E4" cm="1">
        <f t="array" aca="1" ref="E4:E13" ca="1">price*quantity</f>
        <v>120</v>
      </c>
    </row>
    <row r="5" spans="1:13" x14ac:dyDescent="0.25">
      <c r="A5" s="1"/>
      <c r="B5" s="1" t="s">
        <v>5</v>
      </c>
      <c r="C5" s="1">
        <v>0.5</v>
      </c>
      <c r="D5" s="1">
        <v>200</v>
      </c>
      <c r="E5">
        <f ca="1"/>
        <v>100</v>
      </c>
    </row>
    <row r="6" spans="1:13" x14ac:dyDescent="0.25">
      <c r="A6" s="1"/>
      <c r="B6" s="1" t="s">
        <v>6</v>
      </c>
      <c r="C6" s="1">
        <v>3</v>
      </c>
      <c r="D6" s="1">
        <v>50</v>
      </c>
      <c r="E6">
        <f ca="1"/>
        <v>150</v>
      </c>
      <c r="H6" s="4"/>
      <c r="I6" s="4"/>
      <c r="J6" s="4"/>
      <c r="K6" s="4"/>
      <c r="L6" s="4"/>
      <c r="M6" s="4"/>
    </row>
    <row r="7" spans="1:13" x14ac:dyDescent="0.25">
      <c r="A7" s="1"/>
      <c r="B7" s="1" t="s">
        <v>7</v>
      </c>
      <c r="C7" s="1">
        <v>2.5</v>
      </c>
      <c r="D7" s="1">
        <v>75</v>
      </c>
      <c r="E7">
        <f ca="1"/>
        <v>187.5</v>
      </c>
      <c r="H7" s="4"/>
    </row>
    <row r="8" spans="1:13" x14ac:dyDescent="0.25">
      <c r="A8" s="1"/>
      <c r="B8" s="1" t="s">
        <v>8</v>
      </c>
      <c r="C8" s="1">
        <v>4</v>
      </c>
      <c r="D8" s="1">
        <v>30</v>
      </c>
      <c r="E8">
        <f ca="1"/>
        <v>120</v>
      </c>
      <c r="H8" s="4"/>
    </row>
    <row r="9" spans="1:13" x14ac:dyDescent="0.25">
      <c r="A9" s="1"/>
      <c r="B9" s="1" t="s">
        <v>9</v>
      </c>
      <c r="C9" s="1">
        <v>3.5</v>
      </c>
      <c r="D9" s="1">
        <v>65</v>
      </c>
      <c r="E9">
        <f ca="1"/>
        <v>227.5</v>
      </c>
      <c r="H9" s="4"/>
    </row>
    <row r="10" spans="1:13" x14ac:dyDescent="0.25">
      <c r="B10" s="5" t="s">
        <v>12</v>
      </c>
      <c r="C10" s="5">
        <v>312</v>
      </c>
      <c r="D10" s="5">
        <v>32</v>
      </c>
      <c r="E10">
        <f ca="1"/>
        <v>9984</v>
      </c>
      <c r="H10" s="4"/>
    </row>
    <row r="11" spans="1:13" x14ac:dyDescent="0.25">
      <c r="B11" s="5" t="s">
        <v>6</v>
      </c>
      <c r="C11" s="5">
        <v>32</v>
      </c>
      <c r="D11" s="5">
        <v>32</v>
      </c>
      <c r="E11">
        <f ca="1"/>
        <v>1024</v>
      </c>
      <c r="H11" s="4"/>
    </row>
    <row r="12" spans="1:13" x14ac:dyDescent="0.25">
      <c r="B12" s="5" t="s">
        <v>13</v>
      </c>
      <c r="C12" s="5">
        <v>34</v>
      </c>
      <c r="D12" s="5">
        <v>32</v>
      </c>
      <c r="E12">
        <f ca="1"/>
        <v>1088</v>
      </c>
    </row>
    <row r="13" spans="1:13" x14ac:dyDescent="0.25">
      <c r="B13" s="5" t="s">
        <v>5</v>
      </c>
      <c r="C13" s="5">
        <v>23</v>
      </c>
      <c r="D13" s="5">
        <v>23</v>
      </c>
      <c r="E13">
        <f ca="1"/>
        <v>529</v>
      </c>
    </row>
    <row r="14" spans="1:13" x14ac:dyDescent="0.25">
      <c r="B14" s="5"/>
      <c r="C14" s="5"/>
      <c r="D14" s="5"/>
    </row>
    <row r="15" spans="1:13" x14ac:dyDescent="0.25">
      <c r="B15" s="5"/>
      <c r="C15" s="5"/>
      <c r="D15" s="5"/>
    </row>
  </sheetData>
  <mergeCells count="1"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CB66-2565-40BB-BF71-A64EDB3DB04B}">
  <sheetPr codeName="Hoja3"/>
  <dimension ref="A1:I27"/>
  <sheetViews>
    <sheetView topLeftCell="A10" workbookViewId="0">
      <selection activeCell="G22" sqref="G22"/>
    </sheetView>
  </sheetViews>
  <sheetFormatPr baseColWidth="10" defaultRowHeight="15" x14ac:dyDescent="0.25"/>
  <cols>
    <col min="3" max="3" width="13.140625" customWidth="1"/>
  </cols>
  <sheetData>
    <row r="1" spans="1:9" x14ac:dyDescent="0.25">
      <c r="A1" s="2" t="s">
        <v>1</v>
      </c>
      <c r="B1" s="2" t="s">
        <v>2</v>
      </c>
      <c r="C1" s="2" t="s">
        <v>3</v>
      </c>
      <c r="D1" s="2" t="s">
        <v>10</v>
      </c>
    </row>
    <row r="2" spans="1:9" x14ac:dyDescent="0.25">
      <c r="A2" s="5" t="s">
        <v>12</v>
      </c>
      <c r="B2" s="5">
        <v>312</v>
      </c>
      <c r="C2" s="5">
        <v>32</v>
      </c>
      <c r="D2">
        <f>Tabla2[[#This Row],[Price]]*Tabla2[[#This Row],[Quantity]]</f>
        <v>9984</v>
      </c>
      <c r="G2" s="67" t="s">
        <v>14</v>
      </c>
      <c r="H2" s="67"/>
      <c r="I2">
        <f>SUM(Tabla2[Revenue])</f>
        <v>11419</v>
      </c>
    </row>
    <row r="3" spans="1:9" x14ac:dyDescent="0.25">
      <c r="A3" s="5" t="s">
        <v>9</v>
      </c>
      <c r="B3" s="5">
        <v>3.5</v>
      </c>
      <c r="C3" s="5">
        <v>100</v>
      </c>
      <c r="D3" s="3">
        <f>Tabla2[[#This Row],[Price]]*Tabla2[[#This Row],[Quantity]]</f>
        <v>350</v>
      </c>
    </row>
    <row r="4" spans="1:9" x14ac:dyDescent="0.25">
      <c r="A4" s="1" t="s">
        <v>9</v>
      </c>
      <c r="B4" s="1">
        <v>3.5</v>
      </c>
      <c r="C4" s="1">
        <v>65</v>
      </c>
      <c r="D4">
        <f>Tabla2[[#This Row],[Price]]*Tabla2[[#This Row],[Quantity]]</f>
        <v>227.5</v>
      </c>
    </row>
    <row r="5" spans="1:9" x14ac:dyDescent="0.25">
      <c r="A5" s="1" t="s">
        <v>7</v>
      </c>
      <c r="B5" s="1">
        <v>2.5</v>
      </c>
      <c r="C5" s="1">
        <v>75</v>
      </c>
      <c r="D5">
        <f>Tabla2[[#This Row],[Price]]*Tabla2[[#This Row],[Quantity]]</f>
        <v>187.5</v>
      </c>
    </row>
    <row r="6" spans="1:9" x14ac:dyDescent="0.25">
      <c r="A6" s="5" t="s">
        <v>13</v>
      </c>
      <c r="B6" s="5">
        <v>3</v>
      </c>
      <c r="C6" s="5">
        <v>60</v>
      </c>
      <c r="D6" s="3">
        <f>Tabla2[[#This Row],[Price]]*Tabla2[[#This Row],[Quantity]]</f>
        <v>180</v>
      </c>
    </row>
    <row r="7" spans="1:9" x14ac:dyDescent="0.25">
      <c r="A7" s="1" t="s">
        <v>6</v>
      </c>
      <c r="B7" s="1">
        <v>3</v>
      </c>
      <c r="C7" s="1">
        <v>50</v>
      </c>
      <c r="D7">
        <f>Tabla2[[#This Row],[Price]]*Tabla2[[#This Row],[Quantity]]</f>
        <v>150</v>
      </c>
    </row>
    <row r="8" spans="1:9" x14ac:dyDescent="0.25">
      <c r="A8" s="1" t="s">
        <v>4</v>
      </c>
      <c r="B8" s="1">
        <v>1.2</v>
      </c>
      <c r="C8" s="1">
        <v>100</v>
      </c>
      <c r="D8">
        <f>Tabla2[[#This Row],[Price]]*Tabla2[[#This Row],[Quantity]]</f>
        <v>120</v>
      </c>
    </row>
    <row r="9" spans="1:9" x14ac:dyDescent="0.25">
      <c r="A9" s="1" t="s">
        <v>8</v>
      </c>
      <c r="B9" s="1">
        <v>4</v>
      </c>
      <c r="C9" s="1">
        <v>30</v>
      </c>
      <c r="D9">
        <f>Tabla2[[#This Row],[Price]]*Tabla2[[#This Row],[Quantity]]</f>
        <v>120</v>
      </c>
    </row>
    <row r="10" spans="1:9" x14ac:dyDescent="0.25">
      <c r="A10" s="1" t="s">
        <v>5</v>
      </c>
      <c r="B10" s="1">
        <v>0.5</v>
      </c>
      <c r="C10" s="1">
        <v>200</v>
      </c>
      <c r="D10">
        <f>Tabla2[[#This Row],[Price]]*Tabla2[[#This Row],[Quantity]]</f>
        <v>100</v>
      </c>
    </row>
    <row r="11" spans="1:9" x14ac:dyDescent="0.25">
      <c r="A11" s="6" t="s">
        <v>15</v>
      </c>
      <c r="B11" s="6"/>
      <c r="C11" s="6"/>
      <c r="D11">
        <f>SUBTOTAL(109,Tabla2[Revenue])</f>
        <v>11419</v>
      </c>
    </row>
    <row r="15" spans="1:9" x14ac:dyDescent="0.25">
      <c r="A15" s="11" t="s">
        <v>23</v>
      </c>
    </row>
    <row r="17" spans="2:5" ht="30" x14ac:dyDescent="0.25">
      <c r="B17" s="8" t="s">
        <v>16</v>
      </c>
      <c r="C17" s="8" t="s">
        <v>17</v>
      </c>
      <c r="D17" s="8" t="s">
        <v>18</v>
      </c>
      <c r="E17" s="9" t="s">
        <v>22</v>
      </c>
    </row>
    <row r="18" spans="2:5" x14ac:dyDescent="0.25">
      <c r="B18" s="7">
        <v>1001</v>
      </c>
      <c r="C18" s="7">
        <v>120</v>
      </c>
      <c r="D18" s="7" t="s">
        <v>19</v>
      </c>
      <c r="E18" s="5" t="str">
        <f>IF(AND(Tabla3[[#This Row],[Order Total]]&gt;100,Tabla3[[#This Row],[Country]]="USA"),"Yes","No")</f>
        <v>Yes</v>
      </c>
    </row>
    <row r="19" spans="2:5" x14ac:dyDescent="0.25">
      <c r="B19" s="7">
        <v>1002</v>
      </c>
      <c r="C19" s="7">
        <v>85</v>
      </c>
      <c r="D19" s="7" t="s">
        <v>19</v>
      </c>
      <c r="E19" s="5" t="str">
        <f>IF(AND(Tabla3[[#This Row],[Order Total]]&gt;100,Tabla3[[#This Row],[Country]]="USA"),"Yes","No")</f>
        <v>No</v>
      </c>
    </row>
    <row r="20" spans="2:5" x14ac:dyDescent="0.25">
      <c r="B20" s="7">
        <v>1003</v>
      </c>
      <c r="C20" s="7">
        <v>150</v>
      </c>
      <c r="D20" s="7" t="s">
        <v>20</v>
      </c>
      <c r="E20" s="5" t="str">
        <f>IF(AND(Tabla3[[#This Row],[Order Total]]&gt;100,Tabla3[[#This Row],[Country]]="USA"),"Yes","No")</f>
        <v>No</v>
      </c>
    </row>
    <row r="21" spans="2:5" x14ac:dyDescent="0.25">
      <c r="B21" s="7">
        <v>1004</v>
      </c>
      <c r="C21" s="7">
        <v>200</v>
      </c>
      <c r="D21" s="7" t="s">
        <v>19</v>
      </c>
      <c r="E21" s="5" t="str">
        <f>IF(AND(Tabla3[[#This Row],[Order Total]]&gt;100,Tabla3[[#This Row],[Country]]="USA"),"Yes","No")</f>
        <v>Yes</v>
      </c>
    </row>
    <row r="22" spans="2:5" x14ac:dyDescent="0.25">
      <c r="B22" s="7">
        <v>1005</v>
      </c>
      <c r="C22" s="7">
        <v>75</v>
      </c>
      <c r="D22" s="7" t="s">
        <v>21</v>
      </c>
      <c r="E22" s="5" t="str">
        <f>IF(AND(Tabla3[[#This Row],[Order Total]]&gt;100,Tabla3[[#This Row],[Country]]="USA"),"Yes","No")</f>
        <v>No</v>
      </c>
    </row>
    <row r="23" spans="2:5" x14ac:dyDescent="0.25">
      <c r="B23" s="7">
        <v>1006</v>
      </c>
      <c r="C23" s="7">
        <v>60</v>
      </c>
      <c r="D23" s="7" t="s">
        <v>19</v>
      </c>
      <c r="E23" s="5" t="str">
        <f>IF(AND(Tabla3[[#This Row],[Order Total]]&gt;100,Tabla3[[#This Row],[Country]]="USA"),"Yes","No")</f>
        <v>No</v>
      </c>
    </row>
    <row r="24" spans="2:5" x14ac:dyDescent="0.25">
      <c r="B24" s="7">
        <v>1007</v>
      </c>
      <c r="C24" s="7">
        <v>135</v>
      </c>
      <c r="D24" s="7" t="s">
        <v>19</v>
      </c>
      <c r="E24" s="5" t="str">
        <f>IF(AND(Tabla3[[#This Row],[Order Total]]&gt;100,Tabla3[[#This Row],[Country]]="USA"),"Yes","No")</f>
        <v>Yes</v>
      </c>
    </row>
    <row r="25" spans="2:5" x14ac:dyDescent="0.25">
      <c r="B25" s="7">
        <v>1008</v>
      </c>
      <c r="C25" s="7">
        <v>90</v>
      </c>
      <c r="D25" s="7" t="s">
        <v>20</v>
      </c>
      <c r="E25" s="5" t="str">
        <f>IF(AND(Tabla3[[#This Row],[Order Total]]&gt;100,Tabla3[[#This Row],[Country]]="USA"),"Yes","No")</f>
        <v>No</v>
      </c>
    </row>
    <row r="26" spans="2:5" x14ac:dyDescent="0.25">
      <c r="B26" s="7">
        <v>1009</v>
      </c>
      <c r="C26" s="7">
        <v>50</v>
      </c>
      <c r="D26" s="7" t="s">
        <v>19</v>
      </c>
      <c r="E26" s="5" t="str">
        <f>IF(AND(Tabla3[[#This Row],[Order Total]]&gt;100,Tabla3[[#This Row],[Country]]="USA"),"Yes","No")</f>
        <v>No</v>
      </c>
    </row>
    <row r="27" spans="2:5" x14ac:dyDescent="0.25">
      <c r="B27" s="7">
        <v>1010</v>
      </c>
      <c r="C27" s="7">
        <v>175</v>
      </c>
      <c r="D27" s="7" t="s">
        <v>20</v>
      </c>
      <c r="E27" s="5" t="str">
        <f>IF(AND(Tabla3[[#This Row],[Order Total]]&gt;100,Tabla3[[#This Row],[Country]]="USA"),"Yes","No")</f>
        <v>No</v>
      </c>
    </row>
  </sheetData>
  <mergeCells count="1">
    <mergeCell ref="G2:H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398B-C8A6-4449-A984-31D62B397E0E}">
  <sheetPr codeName="Hoja4"/>
  <dimension ref="A1:Q23"/>
  <sheetViews>
    <sheetView workbookViewId="0"/>
  </sheetViews>
  <sheetFormatPr baseColWidth="10" defaultRowHeight="15" x14ac:dyDescent="0.25"/>
  <cols>
    <col min="15" max="15" width="11.5703125" customWidth="1"/>
  </cols>
  <sheetData>
    <row r="1" spans="1:17" x14ac:dyDescent="0.25">
      <c r="A1" s="31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7" ht="15.75" thickBot="1" x14ac:dyDescent="0.3">
      <c r="A3" s="10" t="s">
        <v>1</v>
      </c>
      <c r="B3" s="10" t="s">
        <v>2</v>
      </c>
      <c r="C3" s="10" t="s">
        <v>3</v>
      </c>
      <c r="D3" s="5" t="s">
        <v>10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 t="s">
        <v>25</v>
      </c>
      <c r="Q3" s="10"/>
    </row>
    <row r="4" spans="1:17" x14ac:dyDescent="0.25">
      <c r="A4" s="10" t="s">
        <v>4</v>
      </c>
      <c r="B4" s="12">
        <v>1.2</v>
      </c>
      <c r="C4" s="10">
        <v>100</v>
      </c>
      <c r="D4" s="13">
        <f>Tabla4[[#This Row],[Price]]*Tabla4[[#This Row],[Quantity]]</f>
        <v>120</v>
      </c>
      <c r="E4" s="10"/>
      <c r="F4" s="23" cm="1">
        <f t="array" ref="F4:F8">Tabla4[Price]*Tabla4[Quantity]</f>
        <v>120</v>
      </c>
      <c r="G4" s="10"/>
      <c r="H4" s="10"/>
      <c r="I4" s="17" t="str" cm="1">
        <f t="array" ref="I4:L10">Tabla4[#All]</f>
        <v>Product</v>
      </c>
      <c r="J4" s="26" t="str">
        <v>Price</v>
      </c>
      <c r="K4" s="26" t="str">
        <v>Quantity</v>
      </c>
      <c r="L4" s="18" t="str">
        <v>Revenue</v>
      </c>
      <c r="M4" s="10"/>
      <c r="N4" s="17" t="str" cm="1">
        <f t="array" ref="N4:Q8">Tabla4[#Data]</f>
        <v>Apples</v>
      </c>
      <c r="O4" s="26">
        <v>1.2</v>
      </c>
      <c r="P4" s="26">
        <v>100</v>
      </c>
      <c r="Q4" s="18">
        <v>120</v>
      </c>
    </row>
    <row r="5" spans="1:17" x14ac:dyDescent="0.25">
      <c r="A5" s="10" t="s">
        <v>5</v>
      </c>
      <c r="B5" s="12">
        <v>0.5</v>
      </c>
      <c r="C5" s="10">
        <v>200</v>
      </c>
      <c r="D5" s="13">
        <f>Tabla4[[#This Row],[Price]]*Tabla4[[#This Row],[Quantity]]</f>
        <v>100</v>
      </c>
      <c r="E5" s="10"/>
      <c r="F5" s="24">
        <v>100</v>
      </c>
      <c r="G5" s="10"/>
      <c r="H5" s="10"/>
      <c r="I5" s="19" t="str">
        <v>Apples</v>
      </c>
      <c r="J5" s="10">
        <v>1.2</v>
      </c>
      <c r="K5" s="10">
        <v>100</v>
      </c>
      <c r="L5" s="20">
        <v>120</v>
      </c>
      <c r="M5" s="10"/>
      <c r="N5" s="19" t="str">
        <v>Bananas</v>
      </c>
      <c r="O5" s="10">
        <v>0.5</v>
      </c>
      <c r="P5" s="10">
        <v>200</v>
      </c>
      <c r="Q5" s="20">
        <v>100</v>
      </c>
    </row>
    <row r="6" spans="1:17" x14ac:dyDescent="0.25">
      <c r="A6" s="10" t="s">
        <v>6</v>
      </c>
      <c r="B6" s="12">
        <v>3</v>
      </c>
      <c r="C6" s="10">
        <v>50</v>
      </c>
      <c r="D6" s="13">
        <f>Tabla4[[#This Row],[Price]]*Tabla4[[#This Row],[Quantity]]</f>
        <v>150</v>
      </c>
      <c r="E6" s="10"/>
      <c r="F6" s="24">
        <v>150</v>
      </c>
      <c r="G6" s="10"/>
      <c r="H6" s="10"/>
      <c r="I6" s="19" t="str">
        <v>Bananas</v>
      </c>
      <c r="J6" s="10">
        <v>0.5</v>
      </c>
      <c r="K6" s="10">
        <v>200</v>
      </c>
      <c r="L6" s="20">
        <v>100</v>
      </c>
      <c r="M6" s="10"/>
      <c r="N6" s="19" t="str">
        <v>Cherries</v>
      </c>
      <c r="O6" s="10">
        <v>3</v>
      </c>
      <c r="P6" s="10">
        <v>50</v>
      </c>
      <c r="Q6" s="20">
        <v>150</v>
      </c>
    </row>
    <row r="7" spans="1:17" x14ac:dyDescent="0.25">
      <c r="A7" s="10" t="s">
        <v>7</v>
      </c>
      <c r="B7" s="12">
        <v>2.5</v>
      </c>
      <c r="C7" s="10">
        <v>75</v>
      </c>
      <c r="D7" s="13">
        <f>Tabla4[[#This Row],[Price]]*Tabla4[[#This Row],[Quantity]]</f>
        <v>187.5</v>
      </c>
      <c r="E7" s="10"/>
      <c r="F7" s="24">
        <v>187.5</v>
      </c>
      <c r="G7" s="10"/>
      <c r="H7" s="10"/>
      <c r="I7" s="19" t="str">
        <v>Cherries</v>
      </c>
      <c r="J7" s="10">
        <v>3</v>
      </c>
      <c r="K7" s="10">
        <v>50</v>
      </c>
      <c r="L7" s="20">
        <v>150</v>
      </c>
      <c r="M7" s="10"/>
      <c r="N7" s="19" t="str">
        <v>Dates</v>
      </c>
      <c r="O7" s="10">
        <v>2.5</v>
      </c>
      <c r="P7" s="10">
        <v>75</v>
      </c>
      <c r="Q7" s="20">
        <v>187.5</v>
      </c>
    </row>
    <row r="8" spans="1:17" ht="15.75" thickBot="1" x14ac:dyDescent="0.3">
      <c r="A8" s="10" t="s">
        <v>8</v>
      </c>
      <c r="B8" s="12">
        <v>4</v>
      </c>
      <c r="C8" s="10">
        <v>30</v>
      </c>
      <c r="D8" s="13">
        <f>Tabla4[[#This Row],[Price]]*Tabla4[[#This Row],[Quantity]]</f>
        <v>120</v>
      </c>
      <c r="E8" s="10"/>
      <c r="F8" s="25">
        <v>120</v>
      </c>
      <c r="G8" s="10"/>
      <c r="H8" s="10"/>
      <c r="I8" s="19" t="str">
        <v>Dates</v>
      </c>
      <c r="J8" s="10">
        <v>2.5</v>
      </c>
      <c r="K8" s="10">
        <v>75</v>
      </c>
      <c r="L8" s="20">
        <v>187.5</v>
      </c>
      <c r="M8" s="10"/>
      <c r="N8" s="21" t="str">
        <v>Elderberries</v>
      </c>
      <c r="O8" s="27">
        <v>4</v>
      </c>
      <c r="P8" s="27">
        <v>30</v>
      </c>
      <c r="Q8" s="22">
        <v>120</v>
      </c>
    </row>
    <row r="9" spans="1:17" x14ac:dyDescent="0.25">
      <c r="A9" s="6" t="s">
        <v>15</v>
      </c>
      <c r="B9" s="35"/>
      <c r="C9" s="6">
        <f>SUBTOTAL(109,Tabla4[Quantity])</f>
        <v>455</v>
      </c>
      <c r="D9" s="34">
        <f>SUBTOTAL(109,Tabla4[Revenue])</f>
        <v>677.5</v>
      </c>
      <c r="E9" s="10"/>
      <c r="F9" s="10"/>
      <c r="G9" s="10"/>
      <c r="H9" s="10"/>
      <c r="I9" s="19" t="str">
        <v>Elderberries</v>
      </c>
      <c r="J9" s="10">
        <v>4</v>
      </c>
      <c r="K9" s="10">
        <v>30</v>
      </c>
      <c r="L9" s="20">
        <v>120</v>
      </c>
      <c r="M9" s="10"/>
      <c r="N9" s="10"/>
      <c r="O9" s="10"/>
      <c r="P9" s="10"/>
      <c r="Q9" s="10"/>
    </row>
    <row r="10" spans="1:17" ht="15.75" thickBot="1" x14ac:dyDescent="0.3">
      <c r="A10" s="10"/>
      <c r="B10" s="12"/>
      <c r="C10" s="10"/>
      <c r="D10" s="10"/>
      <c r="E10" s="10"/>
      <c r="F10" s="10"/>
      <c r="G10" s="10"/>
      <c r="H10" s="10"/>
      <c r="I10" s="21" t="str">
        <v>Total</v>
      </c>
      <c r="J10" s="27">
        <v>0</v>
      </c>
      <c r="K10" s="27">
        <v>455</v>
      </c>
      <c r="L10" s="22">
        <v>677.5</v>
      </c>
      <c r="M10" s="10"/>
      <c r="N10" s="10"/>
      <c r="O10" s="10"/>
      <c r="P10" s="10"/>
      <c r="Q10" s="10"/>
    </row>
    <row r="11" spans="1:17" ht="15.75" thickBot="1" x14ac:dyDescent="0.3">
      <c r="A11" s="10"/>
      <c r="B11" s="10"/>
      <c r="C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5.75" thickBot="1" x14ac:dyDescent="0.3">
      <c r="A12" s="10"/>
      <c r="B12" s="28"/>
      <c r="C12" s="32" t="s">
        <v>26</v>
      </c>
      <c r="D12" s="33">
        <f>AVERAGE(Tabla4[Revenue])</f>
        <v>135.5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15.75" thickBot="1" x14ac:dyDescent="0.3">
      <c r="A13" s="10"/>
      <c r="B13" s="10"/>
      <c r="C13" s="10"/>
      <c r="D13" s="10"/>
      <c r="E13" s="10"/>
      <c r="F13" s="10"/>
      <c r="G13" s="10"/>
      <c r="H13" s="10"/>
      <c r="I13" s="28" t="str" cm="1">
        <f t="array" ref="I13:L13">Tabla4[#Headers]</f>
        <v>Product</v>
      </c>
      <c r="J13" s="29" t="str">
        <v>Price</v>
      </c>
      <c r="K13" s="29" t="str">
        <v>Quantity</v>
      </c>
      <c r="L13" s="30" t="str">
        <v>Revenue</v>
      </c>
      <c r="M13" s="10"/>
      <c r="N13" s="28" t="str" cm="1">
        <f t="array" ref="N13:Q13">Tabla4[#Totals]</f>
        <v>Total</v>
      </c>
      <c r="O13" s="29">
        <v>0</v>
      </c>
      <c r="P13" s="29">
        <v>455</v>
      </c>
      <c r="Q13" s="30">
        <v>677.5</v>
      </c>
    </row>
    <row r="14" spans="1:17" ht="15.75" thickBot="1" x14ac:dyDescent="0.3">
      <c r="A14" s="10"/>
      <c r="B14" s="10"/>
      <c r="C14" s="10"/>
      <c r="D14" s="10"/>
      <c r="E14" s="17" cm="1">
        <f t="array" ref="E14:F18">Tabla4[[Price]:[Quantity]]</f>
        <v>1.2</v>
      </c>
      <c r="F14" s="18">
        <v>100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5.75" thickBot="1" x14ac:dyDescent="0.3">
      <c r="A15" s="10"/>
      <c r="B15" s="10"/>
      <c r="C15" s="14" t="str" cm="1">
        <f t="array" ref="C15:C19">Tabla4[Product]</f>
        <v>Apples</v>
      </c>
      <c r="D15" s="10"/>
      <c r="E15" s="19">
        <v>0.5</v>
      </c>
      <c r="F15" s="20">
        <v>200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15.75" thickBot="1" x14ac:dyDescent="0.3">
      <c r="A16" s="10"/>
      <c r="B16" s="10"/>
      <c r="C16" s="15" t="str">
        <v>Bananas</v>
      </c>
      <c r="D16" s="10"/>
      <c r="E16" s="19">
        <v>3</v>
      </c>
      <c r="F16" s="20">
        <v>50</v>
      </c>
      <c r="G16" s="10"/>
      <c r="H16" s="10"/>
      <c r="I16" s="14" t="str" cm="1">
        <f t="array" ref="I16:I22">Tabla4[[#All],[Quantity]]</f>
        <v>Quantity</v>
      </c>
      <c r="J16" s="10"/>
      <c r="K16" s="10"/>
      <c r="L16" s="36">
        <f>Tabla4[[#Totals],[Revenue]]</f>
        <v>677.5</v>
      </c>
      <c r="M16" s="10"/>
      <c r="N16" s="10"/>
      <c r="O16" s="10"/>
      <c r="P16" s="10"/>
      <c r="Q16" s="10"/>
    </row>
    <row r="17" spans="1:9" x14ac:dyDescent="0.25">
      <c r="A17" s="10"/>
      <c r="B17" s="10"/>
      <c r="C17" s="15" t="str">
        <v>Cherries</v>
      </c>
      <c r="D17" s="10"/>
      <c r="E17" s="19">
        <v>2.5</v>
      </c>
      <c r="F17" s="20">
        <v>75</v>
      </c>
      <c r="G17" s="10"/>
      <c r="H17" s="10"/>
      <c r="I17" s="15">
        <v>100</v>
      </c>
    </row>
    <row r="18" spans="1:9" ht="15.75" thickBot="1" x14ac:dyDescent="0.3">
      <c r="C18" s="15" t="str">
        <v>Dates</v>
      </c>
      <c r="D18" s="10"/>
      <c r="E18" s="21">
        <v>4</v>
      </c>
      <c r="F18" s="22">
        <v>30</v>
      </c>
      <c r="G18" s="10"/>
      <c r="H18" s="10"/>
      <c r="I18" s="15">
        <v>200</v>
      </c>
    </row>
    <row r="19" spans="1:9" ht="15.75" thickBot="1" x14ac:dyDescent="0.3">
      <c r="C19" s="16" t="str">
        <v>Elderberries</v>
      </c>
      <c r="D19" s="10"/>
      <c r="E19" s="10"/>
      <c r="F19" s="10"/>
      <c r="G19" s="10"/>
      <c r="H19" s="10"/>
      <c r="I19" s="15">
        <v>50</v>
      </c>
    </row>
    <row r="20" spans="1:9" x14ac:dyDescent="0.25">
      <c r="C20" s="10"/>
      <c r="D20" s="10"/>
      <c r="E20" s="10"/>
      <c r="F20" s="10"/>
      <c r="G20" s="10"/>
      <c r="H20" s="10"/>
      <c r="I20" s="15">
        <v>75</v>
      </c>
    </row>
    <row r="21" spans="1:9" x14ac:dyDescent="0.25">
      <c r="C21" s="10"/>
      <c r="D21" s="10"/>
      <c r="E21" s="10"/>
      <c r="F21" s="10"/>
      <c r="G21" s="10"/>
      <c r="H21" s="10"/>
      <c r="I21" s="15">
        <v>30</v>
      </c>
    </row>
    <row r="22" spans="1:9" ht="15.75" thickBot="1" x14ac:dyDescent="0.3">
      <c r="C22" s="10"/>
      <c r="D22" s="10"/>
      <c r="E22" s="10"/>
      <c r="F22" s="10"/>
      <c r="G22" s="10"/>
      <c r="H22" s="10"/>
      <c r="I22" s="16">
        <v>455</v>
      </c>
    </row>
    <row r="23" spans="1:9" x14ac:dyDescent="0.25">
      <c r="C23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CA12-DAC3-484D-8EE9-DE9354073F22}">
  <sheetPr codeName="Hoja5"/>
  <dimension ref="A1:E23"/>
  <sheetViews>
    <sheetView topLeftCell="A25" workbookViewId="0">
      <selection activeCell="A29" sqref="A29:XFD37"/>
    </sheetView>
  </sheetViews>
  <sheetFormatPr baseColWidth="10" defaultRowHeight="15" x14ac:dyDescent="0.25"/>
  <sheetData>
    <row r="1" spans="1:5" x14ac:dyDescent="0.25">
      <c r="A1" s="41"/>
      <c r="B1" s="37"/>
      <c r="C1" s="37"/>
      <c r="D1" s="37"/>
      <c r="E1" s="37"/>
    </row>
    <row r="2" spans="1:5" ht="15.75" thickBot="1" x14ac:dyDescent="0.3">
      <c r="A2" s="37"/>
      <c r="B2" s="37"/>
      <c r="C2" s="37"/>
      <c r="D2" s="37"/>
      <c r="E2" s="37"/>
    </row>
    <row r="3" spans="1:5" ht="15.75" thickBot="1" x14ac:dyDescent="0.3">
      <c r="A3" s="37"/>
      <c r="B3" s="37"/>
      <c r="C3" s="37"/>
      <c r="D3" s="49" t="s">
        <v>27</v>
      </c>
      <c r="E3" s="40">
        <v>67</v>
      </c>
    </row>
    <row r="4" spans="1:5" ht="15.75" thickBot="1" x14ac:dyDescent="0.3">
      <c r="A4" s="37"/>
      <c r="B4" s="37"/>
      <c r="C4" s="37"/>
      <c r="D4" s="49"/>
      <c r="E4" s="37"/>
    </row>
    <row r="5" spans="1:5" ht="15.75" thickBot="1" x14ac:dyDescent="0.3">
      <c r="A5" s="37"/>
      <c r="B5" s="37"/>
      <c r="C5" s="37"/>
      <c r="D5" s="49" t="s">
        <v>28</v>
      </c>
      <c r="E5" s="48">
        <v>0.32</v>
      </c>
    </row>
    <row r="6" spans="1:5" ht="15.75" thickBot="1" x14ac:dyDescent="0.3">
      <c r="A6" s="37"/>
      <c r="B6" s="37"/>
      <c r="C6" s="37"/>
      <c r="D6" s="49"/>
      <c r="E6" s="37"/>
    </row>
    <row r="7" spans="1:5" x14ac:dyDescent="0.25">
      <c r="A7" s="37"/>
      <c r="B7" s="37"/>
      <c r="C7" s="37"/>
      <c r="D7" s="49" t="s">
        <v>29</v>
      </c>
      <c r="E7" s="50">
        <v>23</v>
      </c>
    </row>
    <row r="8" spans="1:5" x14ac:dyDescent="0.25">
      <c r="A8" s="37"/>
      <c r="B8" s="37"/>
      <c r="C8" s="37"/>
      <c r="D8" s="49"/>
      <c r="E8" s="51">
        <v>32</v>
      </c>
    </row>
    <row r="9" spans="1:5" ht="15.75" thickBot="1" x14ac:dyDescent="0.3">
      <c r="A9" s="37"/>
      <c r="B9" s="37"/>
      <c r="C9" s="37"/>
      <c r="D9" s="49"/>
      <c r="E9" s="52">
        <v>23</v>
      </c>
    </row>
    <row r="10" spans="1:5" ht="15.75" thickBot="1" x14ac:dyDescent="0.3">
      <c r="A10" s="37"/>
      <c r="B10" s="37"/>
      <c r="C10" s="37"/>
      <c r="D10" s="49"/>
      <c r="E10" s="37"/>
    </row>
    <row r="11" spans="1:5" ht="15.75" thickBot="1" x14ac:dyDescent="0.3">
      <c r="A11" s="37"/>
      <c r="B11" s="37"/>
      <c r="C11" s="37"/>
      <c r="D11" s="49" t="s">
        <v>30</v>
      </c>
      <c r="E11" s="47">
        <v>45937</v>
      </c>
    </row>
    <row r="12" spans="1:5" ht="15.75" thickBot="1" x14ac:dyDescent="0.3">
      <c r="A12" s="37"/>
      <c r="B12" s="37"/>
      <c r="C12" s="37"/>
      <c r="D12" s="37"/>
      <c r="E12" s="37"/>
    </row>
    <row r="13" spans="1:5" x14ac:dyDescent="0.25">
      <c r="A13" s="37"/>
      <c r="B13" s="37"/>
      <c r="C13" s="37"/>
      <c r="D13" s="42" t="s">
        <v>31</v>
      </c>
      <c r="E13" s="43" t="s">
        <v>32</v>
      </c>
    </row>
    <row r="14" spans="1:5" x14ac:dyDescent="0.25">
      <c r="A14" s="37"/>
      <c r="B14" s="37"/>
      <c r="C14" s="37"/>
      <c r="D14" s="44">
        <v>45938</v>
      </c>
      <c r="E14" s="45">
        <v>456</v>
      </c>
    </row>
    <row r="15" spans="1:5" x14ac:dyDescent="0.25">
      <c r="A15" s="37"/>
      <c r="B15" s="37"/>
      <c r="C15" s="37"/>
      <c r="D15" s="44">
        <v>45941</v>
      </c>
      <c r="E15" s="45">
        <v>329</v>
      </c>
    </row>
    <row r="16" spans="1:5" x14ac:dyDescent="0.25">
      <c r="A16" s="37"/>
      <c r="B16" s="37"/>
      <c r="C16" s="37"/>
      <c r="D16" s="44">
        <v>45944</v>
      </c>
      <c r="E16" s="45">
        <v>407</v>
      </c>
    </row>
    <row r="17" spans="4:5" x14ac:dyDescent="0.25">
      <c r="D17" s="44">
        <v>45949</v>
      </c>
      <c r="E17" s="45">
        <v>512</v>
      </c>
    </row>
    <row r="18" spans="4:5" x14ac:dyDescent="0.25">
      <c r="D18" s="44"/>
      <c r="E18" s="45"/>
    </row>
    <row r="19" spans="4:5" x14ac:dyDescent="0.25">
      <c r="D19" s="39"/>
      <c r="E19" s="45"/>
    </row>
    <row r="20" spans="4:5" x14ac:dyDescent="0.25">
      <c r="D20" s="39"/>
      <c r="E20" s="45"/>
    </row>
    <row r="21" spans="4:5" x14ac:dyDescent="0.25">
      <c r="D21" s="39"/>
      <c r="E21" s="45"/>
    </row>
    <row r="22" spans="4:5" x14ac:dyDescent="0.25">
      <c r="D22" s="39"/>
      <c r="E22" s="45"/>
    </row>
    <row r="23" spans="4:5" ht="15.75" thickBot="1" x14ac:dyDescent="0.3">
      <c r="D23" s="38"/>
      <c r="E23" s="46"/>
    </row>
  </sheetData>
  <dataValidations count="3">
    <dataValidation type="whole" allowBlank="1" showInputMessage="1" showErrorMessage="1" sqref="E3" xr:uid="{01A86D3A-BE75-4EE5-8046-55928409FC60}">
      <formula1>50</formula1>
      <formula2>100</formula2>
    </dataValidation>
    <dataValidation type="decimal" allowBlank="1" showInputMessage="1" showErrorMessage="1" prompt="Percentage values" sqref="E5" xr:uid="{211FC22E-BBD2-4D4F-B55F-E3E4D49CC11F}">
      <formula1>0</formula1>
      <formula2>1</formula2>
    </dataValidation>
    <dataValidation type="whole" operator="greaterThan" allowBlank="1" showInputMessage="1" showErrorMessage="1" sqref="E7:E9" xr:uid="{330FCA1D-8DD0-4576-AABD-BE52C14973A8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A56D-2013-4ED5-B18C-257020B7E0F4}">
  <sheetPr codeName="Hoja6"/>
  <dimension ref="A1:I18"/>
  <sheetViews>
    <sheetView workbookViewId="0">
      <selection activeCell="J1" sqref="J1"/>
    </sheetView>
  </sheetViews>
  <sheetFormatPr baseColWidth="10" defaultRowHeight="15" x14ac:dyDescent="0.25"/>
  <cols>
    <col min="9" max="9" width="0" hidden="1" customWidth="1"/>
  </cols>
  <sheetData>
    <row r="1" spans="1:9" x14ac:dyDescent="0.25">
      <c r="A1" s="58" t="s">
        <v>33</v>
      </c>
      <c r="B1" s="58" t="s">
        <v>34</v>
      </c>
      <c r="C1" s="58"/>
      <c r="D1" s="53"/>
      <c r="E1" s="53"/>
      <c r="F1" s="53"/>
      <c r="G1" s="53"/>
      <c r="H1" s="53"/>
      <c r="I1" s="53"/>
    </row>
    <row r="2" spans="1:9" x14ac:dyDescent="0.25">
      <c r="A2" s="53" t="s">
        <v>35</v>
      </c>
      <c r="B2" s="53">
        <v>7</v>
      </c>
      <c r="C2" s="53"/>
      <c r="D2" s="53"/>
      <c r="E2" s="53" t="s">
        <v>36</v>
      </c>
      <c r="F2" s="53"/>
      <c r="G2" s="53"/>
      <c r="H2" s="53"/>
      <c r="I2" s="53"/>
    </row>
    <row r="3" spans="1:9" x14ac:dyDescent="0.25">
      <c r="A3" s="53" t="s">
        <v>37</v>
      </c>
      <c r="B3" s="53">
        <v>9</v>
      </c>
      <c r="C3" s="53"/>
      <c r="D3" s="53"/>
      <c r="E3" s="53"/>
      <c r="F3" s="53"/>
      <c r="G3" s="53"/>
      <c r="H3" s="53"/>
      <c r="I3" s="53"/>
    </row>
    <row r="4" spans="1:9" ht="15.75" thickBot="1" x14ac:dyDescent="0.3">
      <c r="A4" s="53" t="s">
        <v>38</v>
      </c>
      <c r="B4" s="53">
        <v>8</v>
      </c>
      <c r="C4" s="53"/>
      <c r="D4" s="53"/>
      <c r="E4" s="53"/>
      <c r="F4" s="53"/>
      <c r="G4" s="53"/>
      <c r="H4" s="53"/>
      <c r="I4" s="53"/>
    </row>
    <row r="5" spans="1:9" x14ac:dyDescent="0.25">
      <c r="A5" s="53" t="s">
        <v>39</v>
      </c>
      <c r="B5" s="53">
        <v>2</v>
      </c>
      <c r="C5" s="53"/>
      <c r="D5" s="53"/>
      <c r="E5" s="68" t="s">
        <v>40</v>
      </c>
      <c r="F5" s="69"/>
      <c r="G5" s="53"/>
      <c r="H5" s="53"/>
      <c r="I5" s="53"/>
    </row>
    <row r="6" spans="1:9" x14ac:dyDescent="0.25">
      <c r="A6" s="53" t="s">
        <v>41</v>
      </c>
      <c r="B6" s="53">
        <v>4</v>
      </c>
      <c r="C6" s="53"/>
      <c r="D6" s="53"/>
      <c r="E6" s="56" t="s">
        <v>42</v>
      </c>
      <c r="F6" s="57" t="s">
        <v>38</v>
      </c>
      <c r="G6" s="53"/>
      <c r="H6" s="53"/>
      <c r="I6" s="53" t="str" cm="1">
        <f t="array" aca="1" ref="I6:I18" ca="1">_xlfn._xlws.SORT(_xlfn.UNIQUE(names))</f>
        <v>Angela</v>
      </c>
    </row>
    <row r="7" spans="1:9" ht="15.75" thickBot="1" x14ac:dyDescent="0.3">
      <c r="A7" s="53" t="s">
        <v>43</v>
      </c>
      <c r="B7" s="53">
        <v>8</v>
      </c>
      <c r="C7" s="53"/>
      <c r="D7" s="53"/>
      <c r="E7" s="54" t="s">
        <v>44</v>
      </c>
      <c r="F7" s="55" cm="1">
        <f t="array" aca="1" ref="F7" ca="1">_xlfn.XLOOKUP(name,names,scores)</f>
        <v>8</v>
      </c>
      <c r="G7" s="53"/>
      <c r="H7" s="53"/>
      <c r="I7" s="53" t="str">
        <f ca="1"/>
        <v>Arthur</v>
      </c>
    </row>
    <row r="8" spans="1:9" x14ac:dyDescent="0.25">
      <c r="A8" s="53" t="s">
        <v>45</v>
      </c>
      <c r="B8" s="53">
        <v>6</v>
      </c>
      <c r="C8" s="53"/>
      <c r="D8" s="53"/>
      <c r="E8" s="53"/>
      <c r="F8" s="53"/>
      <c r="G8" s="53"/>
      <c r="H8" s="53"/>
      <c r="I8" s="53" t="str">
        <f ca="1"/>
        <v>Bashful</v>
      </c>
    </row>
    <row r="9" spans="1:9" x14ac:dyDescent="0.25">
      <c r="A9" s="53" t="s">
        <v>46</v>
      </c>
      <c r="B9" s="53">
        <v>10</v>
      </c>
      <c r="C9" s="53"/>
      <c r="D9" s="53"/>
      <c r="E9" s="53"/>
      <c r="F9" s="53"/>
      <c r="G9" s="53"/>
      <c r="H9" s="53"/>
      <c r="I9" s="53" t="str">
        <f ca="1"/>
        <v>Charlie</v>
      </c>
    </row>
    <row r="10" spans="1:9" x14ac:dyDescent="0.25">
      <c r="A10" t="s">
        <v>47</v>
      </c>
      <c r="B10">
        <v>5</v>
      </c>
      <c r="I10" t="str">
        <f ca="1"/>
        <v>Doc</v>
      </c>
    </row>
    <row r="11" spans="1:9" x14ac:dyDescent="0.25">
      <c r="A11" t="s">
        <v>48</v>
      </c>
      <c r="B11">
        <v>8</v>
      </c>
      <c r="D11" s="53"/>
      <c r="I11" t="str">
        <f ca="1"/>
        <v>Dopey</v>
      </c>
    </row>
    <row r="12" spans="1:9" x14ac:dyDescent="0.25">
      <c r="A12" s="53" t="s">
        <v>49</v>
      </c>
      <c r="B12" s="53">
        <v>4</v>
      </c>
      <c r="I12" t="str">
        <f ca="1"/>
        <v>Grumpy</v>
      </c>
    </row>
    <row r="13" spans="1:9" x14ac:dyDescent="0.25">
      <c r="A13" s="53" t="s">
        <v>50</v>
      </c>
      <c r="B13" s="53">
        <v>2</v>
      </c>
      <c r="I13" t="str">
        <f ca="1"/>
        <v>Happy</v>
      </c>
    </row>
    <row r="14" spans="1:9" x14ac:dyDescent="0.25">
      <c r="A14" s="53" t="s">
        <v>51</v>
      </c>
      <c r="B14" s="53">
        <v>5</v>
      </c>
      <c r="I14" t="str">
        <f ca="1"/>
        <v>Liz</v>
      </c>
    </row>
    <row r="15" spans="1:9" x14ac:dyDescent="0.25">
      <c r="I15" t="str">
        <f ca="1"/>
        <v>Pit</v>
      </c>
    </row>
    <row r="16" spans="1:9" x14ac:dyDescent="0.25">
      <c r="I16" t="str">
        <f ca="1"/>
        <v>Sleepy</v>
      </c>
    </row>
    <row r="17" spans="9:9" x14ac:dyDescent="0.25">
      <c r="I17" t="str">
        <f ca="1"/>
        <v>Sneezy</v>
      </c>
    </row>
    <row r="18" spans="9:9" x14ac:dyDescent="0.25">
      <c r="I18" t="str">
        <f ca="1"/>
        <v>Snow White</v>
      </c>
    </row>
  </sheetData>
  <mergeCells count="1">
    <mergeCell ref="E5:F5"/>
  </mergeCells>
  <dataValidations count="2">
    <dataValidation type="custom" allowBlank="1" showInputMessage="1" showErrorMessage="1" sqref="A2:A1048576" xr:uid="{E8221C9E-CC48-4983-816C-4451BD344823}">
      <formula1>COUNTIF(names,A2)=1</formula1>
    </dataValidation>
    <dataValidation type="list" allowBlank="1" showInputMessage="1" showErrorMessage="1" sqref="F6" xr:uid="{A80B1943-08C5-45AD-8C15-53CE99221BAA}">
      <formula1>_xlfn.ANCHORARRAY($I$6)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93BE-419F-4335-A254-8347C456FA7A}">
  <sheetPr codeName="Hoja7"/>
  <dimension ref="A1:K19"/>
  <sheetViews>
    <sheetView workbookViewId="0">
      <selection activeCell="G10" sqref="G10"/>
    </sheetView>
  </sheetViews>
  <sheetFormatPr baseColWidth="10" defaultRowHeight="15" x14ac:dyDescent="0.25"/>
  <cols>
    <col min="2" max="2" width="12" customWidth="1"/>
    <col min="5" max="5" width="12.5703125" customWidth="1"/>
    <col min="10" max="10" width="12" customWidth="1"/>
  </cols>
  <sheetData>
    <row r="1" spans="1:11" x14ac:dyDescent="0.25">
      <c r="A1" s="60" t="s">
        <v>52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x14ac:dyDescent="0.25">
      <c r="A2" s="59"/>
      <c r="B2" s="59"/>
      <c r="C2" s="63" t="s">
        <v>53</v>
      </c>
      <c r="D2" s="61">
        <v>45931</v>
      </c>
      <c r="E2" s="59"/>
      <c r="F2" s="59"/>
      <c r="G2" s="59"/>
      <c r="H2" s="59"/>
      <c r="I2" s="59"/>
      <c r="J2" s="59"/>
      <c r="K2" s="59"/>
    </row>
    <row r="3" spans="1:11" x14ac:dyDescent="0.25">
      <c r="A3" s="59"/>
      <c r="B3" s="59"/>
      <c r="C3" s="63" t="s">
        <v>54</v>
      </c>
      <c r="D3" s="61">
        <v>45961</v>
      </c>
      <c r="E3" s="59"/>
      <c r="F3" s="59"/>
      <c r="G3" s="59"/>
      <c r="H3" s="59"/>
      <c r="I3" s="59"/>
      <c r="J3" s="59"/>
      <c r="K3" s="59"/>
    </row>
    <row r="5" spans="1:11" x14ac:dyDescent="0.25">
      <c r="A5" s="60" t="s">
        <v>31</v>
      </c>
      <c r="B5" s="60" t="s">
        <v>55</v>
      </c>
      <c r="C5" s="60" t="s">
        <v>56</v>
      </c>
      <c r="D5" s="60" t="s">
        <v>57</v>
      </c>
      <c r="E5" s="60" t="s">
        <v>58</v>
      </c>
      <c r="F5" s="60" t="s">
        <v>59</v>
      </c>
      <c r="G5" s="59"/>
      <c r="H5" s="59"/>
      <c r="I5" s="59"/>
      <c r="J5" s="59"/>
      <c r="K5" s="59"/>
    </row>
    <row r="6" spans="1:11" x14ac:dyDescent="0.25">
      <c r="A6" s="61">
        <v>45934</v>
      </c>
      <c r="B6" s="59" t="s">
        <v>60</v>
      </c>
      <c r="C6" s="62">
        <f>_xlfn.XLOOKUP(TimeTable[[#This Row],[Employee]],RateTable[Employee],RateTable[Rate])</f>
        <v>21</v>
      </c>
      <c r="D6" s="64">
        <v>23</v>
      </c>
      <c r="E6" s="64" t="s">
        <v>63</v>
      </c>
      <c r="F6" s="62">
        <f>IF(TimeTable[[#This Row],[Overtime?]]="Y",TimeTable[[#This Row],[Rate]]*TimeTable[[#This Row],[Hours]]*1.5,TimeTable[[#This Row],[Hours]]*TimeTable[[#This Row],[Rate]])</f>
        <v>724.5</v>
      </c>
      <c r="G6" s="59"/>
      <c r="H6" s="59"/>
      <c r="I6" s="59"/>
      <c r="J6" s="59"/>
      <c r="K6" s="59"/>
    </row>
    <row r="7" spans="1:11" x14ac:dyDescent="0.25">
      <c r="A7" s="61">
        <v>45937</v>
      </c>
      <c r="B7" s="59" t="s">
        <v>61</v>
      </c>
      <c r="C7" s="62">
        <f>_xlfn.XLOOKUP(TimeTable[[#This Row],[Employee]],RateTable[Employee],RateTable[Rate])</f>
        <v>23</v>
      </c>
      <c r="D7" s="64">
        <v>18</v>
      </c>
      <c r="E7" s="64" t="s">
        <v>63</v>
      </c>
      <c r="F7" s="62">
        <f>IF(TimeTable[[#This Row],[Overtime?]]="Y",TimeTable[[#This Row],[Rate]]*TimeTable[[#This Row],[Hours]]*1.5,TimeTable[[#This Row],[Hours]]*TimeTable[[#This Row],[Rate]])</f>
        <v>621</v>
      </c>
      <c r="G7" s="59"/>
      <c r="H7" s="59"/>
      <c r="I7" s="59"/>
      <c r="J7" s="59"/>
      <c r="K7" s="59"/>
    </row>
    <row r="8" spans="1:11" x14ac:dyDescent="0.25">
      <c r="A8" s="61">
        <v>45942</v>
      </c>
      <c r="B8" s="59" t="s">
        <v>62</v>
      </c>
      <c r="C8" s="62">
        <f>_xlfn.XLOOKUP(TimeTable[[#This Row],[Employee]],RateTable[Employee],RateTable[Rate])</f>
        <v>20</v>
      </c>
      <c r="D8" s="64">
        <v>34</v>
      </c>
      <c r="E8" s="64"/>
      <c r="F8" s="62">
        <f>IF(TimeTable[[#This Row],[Overtime?]]="Y",TimeTable[[#This Row],[Rate]]*TimeTable[[#This Row],[Hours]]*1.5,TimeTable[[#This Row],[Hours]]*TimeTable[[#This Row],[Rate]])</f>
        <v>680</v>
      </c>
      <c r="G8" s="59"/>
      <c r="H8" s="59"/>
      <c r="I8" s="59"/>
      <c r="J8" s="60" t="s">
        <v>55</v>
      </c>
      <c r="K8" s="60" t="s">
        <v>56</v>
      </c>
    </row>
    <row r="9" spans="1:11" x14ac:dyDescent="0.25">
      <c r="A9" s="61">
        <v>45945</v>
      </c>
      <c r="B9" s="59" t="s">
        <v>62</v>
      </c>
      <c r="C9" s="62">
        <f>_xlfn.XLOOKUP(TimeTable[[#This Row],[Employee]],RateTable[Employee],RateTable[Rate])</f>
        <v>20</v>
      </c>
      <c r="D9" s="64">
        <v>4</v>
      </c>
      <c r="E9" s="64" t="s">
        <v>63</v>
      </c>
      <c r="F9" s="62">
        <f>IF(TimeTable[[#This Row],[Overtime?]]="Y",TimeTable[[#This Row],[Rate]]*TimeTable[[#This Row],[Hours]]*1.5,TimeTable[[#This Row],[Hours]]*TimeTable[[#This Row],[Rate]])</f>
        <v>120</v>
      </c>
      <c r="G9" s="59"/>
      <c r="H9" s="59"/>
      <c r="I9" s="59"/>
      <c r="J9" s="59" t="s">
        <v>64</v>
      </c>
      <c r="K9" s="62">
        <v>15</v>
      </c>
    </row>
    <row r="10" spans="1:11" x14ac:dyDescent="0.25">
      <c r="A10" s="61">
        <v>45947</v>
      </c>
      <c r="B10" s="59" t="s">
        <v>65</v>
      </c>
      <c r="C10" s="62">
        <f>_xlfn.XLOOKUP(TimeTable[[#This Row],[Employee]],RateTable[Employee],RateTable[Rate])</f>
        <v>20</v>
      </c>
      <c r="D10" s="64">
        <v>9</v>
      </c>
      <c r="E10" s="64"/>
      <c r="F10" s="62">
        <f>IF(TimeTable[[#This Row],[Overtime?]]="Y",TimeTable[[#This Row],[Rate]]*TimeTable[[#This Row],[Hours]]*1.5,TimeTable[[#This Row],[Hours]]*TimeTable[[#This Row],[Rate]])</f>
        <v>180</v>
      </c>
      <c r="G10" s="59"/>
      <c r="H10" s="59"/>
      <c r="I10" s="59"/>
      <c r="J10" s="59" t="s">
        <v>66</v>
      </c>
      <c r="K10" s="62">
        <v>12</v>
      </c>
    </row>
    <row r="11" spans="1:11" x14ac:dyDescent="0.25">
      <c r="A11" s="61">
        <v>45949</v>
      </c>
      <c r="B11" s="59" t="s">
        <v>66</v>
      </c>
      <c r="C11" s="62">
        <f>_xlfn.XLOOKUP(TimeTable[[#This Row],[Employee]],RateTable[Employee],RateTable[Rate])</f>
        <v>12</v>
      </c>
      <c r="D11" s="64">
        <v>19</v>
      </c>
      <c r="E11" s="64"/>
      <c r="F11" s="62">
        <f>IF(TimeTable[[#This Row],[Overtime?]]="Y",TimeTable[[#This Row],[Rate]]*TimeTable[[#This Row],[Hours]]*1.5,TimeTable[[#This Row],[Hours]]*TimeTable[[#This Row],[Rate]])</f>
        <v>228</v>
      </c>
      <c r="G11" s="59"/>
      <c r="H11" s="59"/>
      <c r="I11" s="59"/>
      <c r="J11" s="59" t="s">
        <v>65</v>
      </c>
      <c r="K11" s="62">
        <v>20</v>
      </c>
    </row>
    <row r="12" spans="1:11" x14ac:dyDescent="0.25">
      <c r="A12" s="61">
        <v>45951</v>
      </c>
      <c r="B12" s="59" t="s">
        <v>60</v>
      </c>
      <c r="C12" s="62">
        <f>_xlfn.XLOOKUP(TimeTable[[#This Row],[Employee]],RateTable[Employee],RateTable[Rate])</f>
        <v>21</v>
      </c>
      <c r="D12" s="64">
        <v>11</v>
      </c>
      <c r="E12" s="64"/>
      <c r="F12" s="62">
        <f>IF(TimeTable[[#This Row],[Overtime?]]="Y",TimeTable[[#This Row],[Rate]]*TimeTable[[#This Row],[Hours]]*1.5,TimeTable[[#This Row],[Hours]]*TimeTable[[#This Row],[Rate]])</f>
        <v>231</v>
      </c>
      <c r="G12" s="59"/>
      <c r="H12" s="59"/>
      <c r="I12" s="59"/>
      <c r="J12" s="59" t="s">
        <v>61</v>
      </c>
      <c r="K12" s="62">
        <v>23</v>
      </c>
    </row>
    <row r="13" spans="1:11" x14ac:dyDescent="0.25">
      <c r="A13" s="61">
        <v>45954</v>
      </c>
      <c r="B13" s="59" t="s">
        <v>67</v>
      </c>
      <c r="C13" s="62">
        <f>_xlfn.XLOOKUP(TimeTable[[#This Row],[Employee]],RateTable[Employee],RateTable[Rate])</f>
        <v>19</v>
      </c>
      <c r="D13" s="64">
        <v>37</v>
      </c>
      <c r="E13" s="64"/>
      <c r="F13" s="62">
        <f>IF(TimeTable[[#This Row],[Overtime?]]="Y",TimeTable[[#This Row],[Rate]]*TimeTable[[#This Row],[Hours]]*1.5,TimeTable[[#This Row],[Hours]]*TimeTable[[#This Row],[Rate]])</f>
        <v>703</v>
      </c>
      <c r="G13" s="59"/>
      <c r="H13" s="59"/>
      <c r="I13" s="59"/>
      <c r="J13" s="59" t="s">
        <v>62</v>
      </c>
      <c r="K13" s="62">
        <v>20</v>
      </c>
    </row>
    <row r="14" spans="1:11" x14ac:dyDescent="0.25">
      <c r="A14" s="61">
        <v>45955</v>
      </c>
      <c r="B14" s="59" t="s">
        <v>64</v>
      </c>
      <c r="C14" s="62">
        <f>_xlfn.XLOOKUP(TimeTable[[#This Row],[Employee]],RateTable[Employee],RateTable[Rate])</f>
        <v>15</v>
      </c>
      <c r="D14" s="64">
        <v>29</v>
      </c>
      <c r="E14" s="64"/>
      <c r="F14" s="62">
        <f>IF(TimeTable[[#This Row],[Overtime?]]="Y",TimeTable[[#This Row],[Rate]]*TimeTable[[#This Row],[Hours]]*1.5,TimeTable[[#This Row],[Hours]]*TimeTable[[#This Row],[Rate]])</f>
        <v>435</v>
      </c>
      <c r="G14" s="59"/>
      <c r="H14" s="59"/>
      <c r="I14" s="59"/>
      <c r="J14" s="59" t="s">
        <v>60</v>
      </c>
      <c r="K14" s="62">
        <v>21</v>
      </c>
    </row>
    <row r="15" spans="1:11" x14ac:dyDescent="0.25">
      <c r="A15" s="61">
        <v>45957</v>
      </c>
      <c r="B15" s="59" t="s">
        <v>64</v>
      </c>
      <c r="C15" s="62">
        <f>_xlfn.XLOOKUP(TimeTable[[#This Row],[Employee]],RateTable[Employee],RateTable[Rate])</f>
        <v>15</v>
      </c>
      <c r="D15" s="64">
        <v>6</v>
      </c>
      <c r="E15" s="64" t="s">
        <v>63</v>
      </c>
      <c r="F15" s="62">
        <f>IF(TimeTable[[#This Row],[Overtime?]]="Y",TimeTable[[#This Row],[Rate]]*TimeTable[[#This Row],[Hours]]*1.5,TimeTable[[#This Row],[Hours]]*TimeTable[[#This Row],[Rate]])</f>
        <v>135</v>
      </c>
      <c r="G15" s="59"/>
      <c r="H15" s="59"/>
      <c r="I15" s="59"/>
      <c r="J15" s="59" t="s">
        <v>68</v>
      </c>
      <c r="K15" s="62">
        <v>23</v>
      </c>
    </row>
    <row r="16" spans="1:11" x14ac:dyDescent="0.25">
      <c r="A16" s="61">
        <v>45959</v>
      </c>
      <c r="B16" t="s">
        <v>61</v>
      </c>
      <c r="C16" s="66">
        <f>_xlfn.XLOOKUP(TimeTable[[#This Row],[Employee]],RateTable[Employee],RateTable[Rate])</f>
        <v>23</v>
      </c>
      <c r="D16" s="64">
        <v>13</v>
      </c>
      <c r="E16" s="64"/>
      <c r="F16" s="66">
        <f>IF(TimeTable[[#This Row],[Overtime?]]="Y",TimeTable[[#This Row],[Rate]]*TimeTable[[#This Row],[Hours]]*1.5,TimeTable[[#This Row],[Hours]]*TimeTable[[#This Row],[Rate]])</f>
        <v>299</v>
      </c>
      <c r="G16" s="59"/>
      <c r="H16" s="59"/>
      <c r="I16" s="59"/>
      <c r="J16" s="59" t="s">
        <v>67</v>
      </c>
      <c r="K16" s="62">
        <v>19</v>
      </c>
    </row>
    <row r="17" spans="1:11" x14ac:dyDescent="0.25">
      <c r="A17" s="61">
        <v>45960</v>
      </c>
      <c r="B17" t="s">
        <v>69</v>
      </c>
      <c r="C17" s="66">
        <f>_xlfn.XLOOKUP(TimeTable[[#This Row],[Employee]],RateTable[Employee],RateTable[Rate])</f>
        <v>15</v>
      </c>
      <c r="D17" s="64">
        <v>40</v>
      </c>
      <c r="E17" s="64" t="s">
        <v>63</v>
      </c>
      <c r="F17" s="66">
        <f>IF(TimeTable[[#This Row],[Overtime?]]="Y",TimeTable[[#This Row],[Rate]]*TimeTable[[#This Row],[Hours]]*1.5,TimeTable[[#This Row],[Hours]]*TimeTable[[#This Row],[Rate]])</f>
        <v>900</v>
      </c>
      <c r="J17" t="s">
        <v>69</v>
      </c>
      <c r="K17" s="62">
        <v>15</v>
      </c>
    </row>
    <row r="18" spans="1:11" x14ac:dyDescent="0.25">
      <c r="A18" s="61">
        <v>45961</v>
      </c>
      <c r="B18" t="s">
        <v>69</v>
      </c>
      <c r="C18" s="66">
        <f>_xlfn.XLOOKUP(TimeTable[[#This Row],[Employee]],RateTable[Employee],RateTable[Rate])</f>
        <v>15</v>
      </c>
      <c r="D18" s="64">
        <v>21</v>
      </c>
      <c r="E18" s="64" t="s">
        <v>63</v>
      </c>
      <c r="F18" s="66">
        <f>IF(TimeTable[[#This Row],[Overtime?]]="Y",TimeTable[[#This Row],[Rate]]*TimeTable[[#This Row],[Hours]]*1.5,TimeTable[[#This Row],[Hours]]*TimeTable[[#This Row],[Rate]])</f>
        <v>472.5</v>
      </c>
    </row>
    <row r="19" spans="1:11" x14ac:dyDescent="0.25">
      <c r="A19" t="s">
        <v>15</v>
      </c>
      <c r="B19" s="59"/>
      <c r="C19" s="65"/>
      <c r="D19" s="64">
        <f>SUBTOTAL(109,TimeTable[Hours])</f>
        <v>264</v>
      </c>
      <c r="E19" s="64"/>
      <c r="F19" s="65">
        <f>SUBTOTAL(103,TimeTable[Pay])</f>
        <v>13</v>
      </c>
    </row>
  </sheetData>
  <dataValidations count="3">
    <dataValidation type="date" allowBlank="1" showInputMessage="1" showErrorMessage="1" sqref="A6:A18" xr:uid="{E28418FC-DF8E-4194-AEAC-6C278D8D96A7}">
      <formula1>$D$2</formula1>
      <formula2>$D$3</formula2>
    </dataValidation>
    <dataValidation type="list" allowBlank="1" showInputMessage="1" showErrorMessage="1" sqref="B6:B18" xr:uid="{F2438382-ED3A-4121-8F87-D0949FA510A7}">
      <formula1>$J$9:$J$17</formula1>
    </dataValidation>
    <dataValidation type="list" allowBlank="1" showInputMessage="1" showErrorMessage="1" sqref="E6:E18" xr:uid="{88C88E9C-E271-4F74-B302-BDFE657B43DD}">
      <formula1>"--,Y"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242E-B3B5-462C-9C6C-12BC2FB27F8A}">
  <sheetPr codeName="Hoja8"/>
  <dimension ref="A1:L46"/>
  <sheetViews>
    <sheetView topLeftCell="A31" workbookViewId="0">
      <selection activeCell="A2" sqref="A2"/>
    </sheetView>
  </sheetViews>
  <sheetFormatPr baseColWidth="10" defaultRowHeight="15" x14ac:dyDescent="0.25"/>
  <cols>
    <col min="1" max="1" width="13.28515625" customWidth="1"/>
    <col min="2" max="2" width="14.28515625" customWidth="1"/>
    <col min="3" max="3" width="14.42578125" bestFit="1" customWidth="1"/>
    <col min="7" max="8" width="11.85546875" bestFit="1" customWidth="1"/>
    <col min="10" max="10" width="11.85546875" bestFit="1" customWidth="1"/>
  </cols>
  <sheetData>
    <row r="1" spans="1:6" ht="30" x14ac:dyDescent="0.25">
      <c r="A1" s="92" t="s">
        <v>70</v>
      </c>
      <c r="B1" s="92" t="s">
        <v>71</v>
      </c>
      <c r="C1" s="92" t="s">
        <v>72</v>
      </c>
      <c r="D1" s="72"/>
      <c r="E1" s="72"/>
      <c r="F1" s="72"/>
    </row>
    <row r="2" spans="1:6" ht="15.75" thickBot="1" x14ac:dyDescent="0.3">
      <c r="A2" s="72" t="s">
        <v>73</v>
      </c>
      <c r="B2" s="72">
        <v>283</v>
      </c>
      <c r="C2" s="72" t="s">
        <v>74</v>
      </c>
      <c r="D2" s="72"/>
      <c r="E2" s="72"/>
      <c r="F2" s="72"/>
    </row>
    <row r="3" spans="1:6" ht="15.75" thickBot="1" x14ac:dyDescent="0.3">
      <c r="A3" s="72" t="s">
        <v>75</v>
      </c>
      <c r="B3" s="72">
        <v>110</v>
      </c>
      <c r="C3" s="72" t="s">
        <v>76</v>
      </c>
      <c r="D3" s="72"/>
      <c r="E3" s="73" t="s">
        <v>70</v>
      </c>
      <c r="F3" s="74" t="s">
        <v>83</v>
      </c>
    </row>
    <row r="4" spans="1:6" ht="15.75" thickBot="1" x14ac:dyDescent="0.3">
      <c r="A4" s="72" t="s">
        <v>78</v>
      </c>
      <c r="B4" s="72">
        <v>38</v>
      </c>
      <c r="C4" s="72" t="s">
        <v>79</v>
      </c>
      <c r="D4" s="72"/>
      <c r="E4" s="72"/>
      <c r="F4" s="72"/>
    </row>
    <row r="5" spans="1:6" ht="15.75" thickBot="1" x14ac:dyDescent="0.3">
      <c r="A5" s="72" t="s">
        <v>80</v>
      </c>
      <c r="B5" s="72">
        <v>12</v>
      </c>
      <c r="C5" s="72" t="s">
        <v>81</v>
      </c>
      <c r="D5" s="72"/>
      <c r="E5" s="73" t="s">
        <v>72</v>
      </c>
      <c r="F5" s="74" t="s">
        <v>76</v>
      </c>
    </row>
    <row r="6" spans="1:6" x14ac:dyDescent="0.25">
      <c r="A6" s="72" t="s">
        <v>82</v>
      </c>
      <c r="B6" s="72">
        <v>243</v>
      </c>
      <c r="C6" s="72" t="s">
        <v>74</v>
      </c>
      <c r="D6" s="72"/>
      <c r="E6" s="72"/>
      <c r="F6" s="72"/>
    </row>
    <row r="7" spans="1:6" x14ac:dyDescent="0.25">
      <c r="A7" s="72" t="s">
        <v>77</v>
      </c>
      <c r="B7" s="72">
        <v>36</v>
      </c>
      <c r="C7" s="72" t="s">
        <v>81</v>
      </c>
      <c r="D7" s="72"/>
      <c r="E7" s="72"/>
      <c r="F7" s="72"/>
    </row>
    <row r="8" spans="1:6" x14ac:dyDescent="0.25">
      <c r="A8" s="72" t="s">
        <v>83</v>
      </c>
      <c r="B8" s="72">
        <v>450</v>
      </c>
      <c r="C8" s="72" t="s">
        <v>76</v>
      </c>
      <c r="D8" s="72"/>
      <c r="E8" s="72"/>
      <c r="F8" s="72"/>
    </row>
    <row r="9" spans="1:6" x14ac:dyDescent="0.25">
      <c r="A9" s="72" t="s">
        <v>84</v>
      </c>
      <c r="B9" s="72">
        <v>102</v>
      </c>
      <c r="C9" s="72" t="s">
        <v>85</v>
      </c>
      <c r="D9" s="72"/>
      <c r="E9" s="72"/>
      <c r="F9" s="72"/>
    </row>
    <row r="10" spans="1:6" x14ac:dyDescent="0.25">
      <c r="A10" s="72" t="s">
        <v>86</v>
      </c>
      <c r="B10" s="72">
        <v>130</v>
      </c>
      <c r="C10" s="72" t="s">
        <v>85</v>
      </c>
      <c r="D10" s="72"/>
      <c r="E10" s="72"/>
      <c r="F10" s="72"/>
    </row>
    <row r="11" spans="1:6" x14ac:dyDescent="0.25">
      <c r="A11" s="72" t="s">
        <v>87</v>
      </c>
      <c r="B11" s="72">
        <v>183</v>
      </c>
      <c r="C11" s="72" t="s">
        <v>88</v>
      </c>
      <c r="D11" s="72"/>
      <c r="E11" s="72"/>
      <c r="F11" s="72"/>
    </row>
    <row r="12" spans="1:6" x14ac:dyDescent="0.25">
      <c r="A12" s="72" t="s">
        <v>89</v>
      </c>
      <c r="B12" s="72">
        <v>70</v>
      </c>
      <c r="C12" s="72" t="s">
        <v>85</v>
      </c>
      <c r="D12" s="72"/>
      <c r="E12" s="72"/>
      <c r="F12" s="72"/>
    </row>
    <row r="13" spans="1:6" x14ac:dyDescent="0.25">
      <c r="A13" s="72" t="s">
        <v>90</v>
      </c>
      <c r="B13" s="72">
        <v>128</v>
      </c>
      <c r="C13" s="72" t="s">
        <v>74</v>
      </c>
      <c r="D13" s="72"/>
      <c r="E13" s="72"/>
      <c r="F13" s="72"/>
    </row>
    <row r="14" spans="1:6" x14ac:dyDescent="0.25">
      <c r="A14" s="72" t="s">
        <v>91</v>
      </c>
      <c r="B14" s="72">
        <v>33</v>
      </c>
      <c r="C14" s="72" t="s">
        <v>81</v>
      </c>
      <c r="D14" s="72"/>
      <c r="E14" s="72"/>
      <c r="F14" s="72"/>
    </row>
    <row r="15" spans="1:6" x14ac:dyDescent="0.25">
      <c r="A15" s="72" t="s">
        <v>92</v>
      </c>
      <c r="B15" s="72">
        <v>310</v>
      </c>
      <c r="C15" s="72" t="s">
        <v>85</v>
      </c>
      <c r="D15" s="72"/>
      <c r="E15" s="72"/>
      <c r="F15" s="72"/>
    </row>
    <row r="16" spans="1:6" x14ac:dyDescent="0.25">
      <c r="A16" s="72" t="s">
        <v>93</v>
      </c>
      <c r="B16" s="72">
        <v>120</v>
      </c>
      <c r="C16" s="72" t="s">
        <v>79</v>
      </c>
      <c r="D16" s="72"/>
      <c r="E16" s="72"/>
      <c r="F16" s="72"/>
    </row>
    <row r="17" spans="1:7" x14ac:dyDescent="0.25">
      <c r="A17" s="72" t="s">
        <v>94</v>
      </c>
      <c r="B17" s="72">
        <v>330</v>
      </c>
      <c r="C17" s="72" t="s">
        <v>88</v>
      </c>
    </row>
    <row r="18" spans="1:7" x14ac:dyDescent="0.25">
      <c r="A18" s="72" t="s">
        <v>95</v>
      </c>
      <c r="B18" s="72">
        <v>34</v>
      </c>
      <c r="C18" s="72" t="s">
        <v>79</v>
      </c>
    </row>
    <row r="19" spans="1:7" x14ac:dyDescent="0.25">
      <c r="A19" s="72" t="s">
        <v>96</v>
      </c>
      <c r="B19" s="72">
        <v>22</v>
      </c>
      <c r="C19" s="72" t="s">
        <v>76</v>
      </c>
    </row>
    <row r="20" spans="1:7" x14ac:dyDescent="0.25">
      <c r="A20" s="72" t="s">
        <v>97</v>
      </c>
      <c r="B20" s="72">
        <v>122</v>
      </c>
      <c r="C20" s="72" t="s">
        <v>88</v>
      </c>
    </row>
    <row r="21" spans="1:7" x14ac:dyDescent="0.25">
      <c r="A21" s="72" t="s">
        <v>98</v>
      </c>
      <c r="B21" s="72">
        <v>35</v>
      </c>
      <c r="C21" s="72" t="s">
        <v>74</v>
      </c>
    </row>
    <row r="22" spans="1:7" x14ac:dyDescent="0.25">
      <c r="A22" s="72" t="s">
        <v>99</v>
      </c>
      <c r="B22" s="72">
        <v>340</v>
      </c>
      <c r="C22" s="72" t="s">
        <v>74</v>
      </c>
    </row>
    <row r="23" spans="1:7" x14ac:dyDescent="0.25">
      <c r="A23" s="72" t="s">
        <v>100</v>
      </c>
      <c r="B23" s="72">
        <v>27</v>
      </c>
      <c r="C23" s="72" t="s">
        <v>74</v>
      </c>
    </row>
    <row r="32" spans="1:7" x14ac:dyDescent="0.25">
      <c r="A32" s="89" t="s">
        <v>101</v>
      </c>
      <c r="B32" s="75"/>
      <c r="C32" s="75"/>
      <c r="D32" s="75"/>
      <c r="E32" s="75"/>
      <c r="F32" s="75"/>
      <c r="G32" s="75"/>
    </row>
    <row r="34" spans="1:12" x14ac:dyDescent="0.25">
      <c r="A34" s="75"/>
      <c r="B34" s="91" t="s">
        <v>102</v>
      </c>
      <c r="C34" s="71"/>
      <c r="D34" s="70" t="s">
        <v>103</v>
      </c>
      <c r="E34" s="71"/>
      <c r="F34" s="75"/>
      <c r="G34" s="75"/>
    </row>
    <row r="35" spans="1:12" x14ac:dyDescent="0.25">
      <c r="A35" s="75"/>
      <c r="B35" s="88"/>
      <c r="C35" s="87"/>
      <c r="D35" s="75"/>
      <c r="E35" s="87"/>
      <c r="F35" s="75"/>
      <c r="G35" s="75"/>
    </row>
    <row r="36" spans="1:12" x14ac:dyDescent="0.25">
      <c r="A36" s="75"/>
      <c r="B36" s="86" t="s">
        <v>31</v>
      </c>
      <c r="C36" s="84" t="s">
        <v>104</v>
      </c>
      <c r="D36" s="85" t="s">
        <v>31</v>
      </c>
      <c r="E36" s="84" t="s">
        <v>104</v>
      </c>
      <c r="F36" s="75"/>
      <c r="G36" s="90"/>
      <c r="H36" s="93"/>
    </row>
    <row r="37" spans="1:12" x14ac:dyDescent="0.25">
      <c r="A37" s="75"/>
      <c r="B37" s="83">
        <v>45931</v>
      </c>
      <c r="C37" s="79">
        <v>100</v>
      </c>
      <c r="D37" s="82">
        <v>45931</v>
      </c>
      <c r="E37" s="79">
        <v>100</v>
      </c>
      <c r="F37" s="75"/>
      <c r="G37" s="75"/>
      <c r="H37" s="75"/>
      <c r="I37" t="b">
        <f>OR($B37&lt;&gt;$D37,$C37&lt;&gt;$E37)</f>
        <v>0</v>
      </c>
      <c r="J37" s="75" t="b">
        <f t="shared" ref="J37:L46" si="0">OR($B37&lt;&gt;$D37,$C37&lt;&gt;$E37)</f>
        <v>0</v>
      </c>
      <c r="K37" s="75" t="b">
        <f t="shared" si="0"/>
        <v>0</v>
      </c>
      <c r="L37" s="75" t="b">
        <f t="shared" si="0"/>
        <v>0</v>
      </c>
    </row>
    <row r="38" spans="1:12" x14ac:dyDescent="0.25">
      <c r="A38" s="75"/>
      <c r="B38" s="83">
        <v>45933</v>
      </c>
      <c r="C38" s="79">
        <v>150</v>
      </c>
      <c r="D38" s="82">
        <v>45933</v>
      </c>
      <c r="E38" s="79">
        <v>160</v>
      </c>
      <c r="F38" s="75"/>
      <c r="G38" s="75"/>
      <c r="H38" s="75"/>
      <c r="I38" s="75" t="b">
        <f t="shared" ref="I38:I46" si="1">OR($B38&lt;&gt;$D38,$C38&lt;&gt;$E38)</f>
        <v>1</v>
      </c>
      <c r="J38" s="75" t="b">
        <f t="shared" si="0"/>
        <v>1</v>
      </c>
      <c r="K38" s="75" t="b">
        <f t="shared" si="0"/>
        <v>1</v>
      </c>
      <c r="L38" s="75" t="b">
        <f t="shared" si="0"/>
        <v>1</v>
      </c>
    </row>
    <row r="39" spans="1:12" x14ac:dyDescent="0.25">
      <c r="A39" s="75"/>
      <c r="B39" s="83">
        <v>45933</v>
      </c>
      <c r="C39" s="79">
        <v>200</v>
      </c>
      <c r="D39" s="82">
        <v>45933</v>
      </c>
      <c r="E39" s="79">
        <v>200</v>
      </c>
      <c r="F39" s="75"/>
      <c r="G39" s="75"/>
      <c r="H39" s="75"/>
      <c r="I39" s="75" t="b">
        <f t="shared" si="1"/>
        <v>0</v>
      </c>
      <c r="J39" s="75" t="b">
        <f t="shared" si="0"/>
        <v>0</v>
      </c>
      <c r="K39" s="75" t="b">
        <f t="shared" si="0"/>
        <v>0</v>
      </c>
      <c r="L39" s="75" t="b">
        <f t="shared" si="0"/>
        <v>0</v>
      </c>
    </row>
    <row r="40" spans="1:12" x14ac:dyDescent="0.25">
      <c r="A40" s="75"/>
      <c r="B40" s="81">
        <v>45935</v>
      </c>
      <c r="C40" s="79">
        <v>350</v>
      </c>
      <c r="D40" s="80">
        <v>45935</v>
      </c>
      <c r="E40" s="79">
        <v>350</v>
      </c>
      <c r="F40" s="75"/>
      <c r="G40" s="75"/>
      <c r="H40" s="75"/>
      <c r="I40" s="75" t="b">
        <f t="shared" si="1"/>
        <v>0</v>
      </c>
      <c r="J40" s="75" t="b">
        <f t="shared" si="0"/>
        <v>0</v>
      </c>
      <c r="K40" s="75" t="b">
        <f t="shared" si="0"/>
        <v>0</v>
      </c>
      <c r="L40" s="75" t="b">
        <f t="shared" si="0"/>
        <v>0</v>
      </c>
    </row>
    <row r="41" spans="1:12" x14ac:dyDescent="0.25">
      <c r="A41" s="75"/>
      <c r="B41" s="81">
        <v>45936</v>
      </c>
      <c r="C41" s="79">
        <v>275</v>
      </c>
      <c r="D41" s="80">
        <v>45938</v>
      </c>
      <c r="E41" s="79">
        <v>275</v>
      </c>
      <c r="F41" s="75"/>
      <c r="G41" s="75"/>
      <c r="H41" s="75"/>
      <c r="I41" s="75" t="b">
        <f t="shared" si="1"/>
        <v>1</v>
      </c>
      <c r="J41" s="75" t="b">
        <f t="shared" si="0"/>
        <v>1</v>
      </c>
      <c r="K41" s="75" t="b">
        <f t="shared" si="0"/>
        <v>1</v>
      </c>
      <c r="L41" s="75" t="b">
        <f t="shared" si="0"/>
        <v>1</v>
      </c>
    </row>
    <row r="42" spans="1:12" x14ac:dyDescent="0.25">
      <c r="A42" s="75"/>
      <c r="B42" s="81">
        <v>45939</v>
      </c>
      <c r="C42" s="79">
        <v>140</v>
      </c>
      <c r="D42" s="80">
        <v>45939</v>
      </c>
      <c r="E42" s="79">
        <v>140</v>
      </c>
      <c r="F42" s="75"/>
      <c r="G42" s="75"/>
      <c r="H42" s="75"/>
      <c r="I42" s="75" t="b">
        <f t="shared" si="1"/>
        <v>0</v>
      </c>
      <c r="J42" s="75" t="b">
        <f t="shared" si="0"/>
        <v>0</v>
      </c>
      <c r="K42" s="75" t="b">
        <f t="shared" si="0"/>
        <v>0</v>
      </c>
      <c r="L42" s="75" t="b">
        <f t="shared" si="0"/>
        <v>0</v>
      </c>
    </row>
    <row r="43" spans="1:12" x14ac:dyDescent="0.25">
      <c r="A43" s="75"/>
      <c r="B43" s="81">
        <v>45942</v>
      </c>
      <c r="C43" s="79">
        <v>85</v>
      </c>
      <c r="D43" s="80">
        <v>45943</v>
      </c>
      <c r="E43" s="79">
        <v>85</v>
      </c>
      <c r="F43" s="75"/>
      <c r="G43" s="75"/>
      <c r="H43" s="75"/>
      <c r="I43" s="75" t="b">
        <f t="shared" si="1"/>
        <v>1</v>
      </c>
      <c r="J43" s="75" t="b">
        <f t="shared" si="0"/>
        <v>1</v>
      </c>
      <c r="K43" s="75" t="b">
        <f t="shared" si="0"/>
        <v>1</v>
      </c>
      <c r="L43" s="75" t="b">
        <f t="shared" si="0"/>
        <v>1</v>
      </c>
    </row>
    <row r="44" spans="1:12" x14ac:dyDescent="0.25">
      <c r="A44" s="75"/>
      <c r="B44" s="81">
        <v>45944</v>
      </c>
      <c r="C44" s="79">
        <v>295</v>
      </c>
      <c r="D44" s="80">
        <v>45944</v>
      </c>
      <c r="E44" s="79">
        <v>295</v>
      </c>
      <c r="F44" s="75"/>
      <c r="G44" s="75"/>
      <c r="H44" s="75"/>
      <c r="I44" s="75" t="b">
        <f t="shared" si="1"/>
        <v>0</v>
      </c>
      <c r="J44" s="75" t="b">
        <f t="shared" si="0"/>
        <v>0</v>
      </c>
      <c r="K44" s="75" t="b">
        <f t="shared" si="0"/>
        <v>0</v>
      </c>
      <c r="L44" s="75" t="b">
        <f t="shared" si="0"/>
        <v>0</v>
      </c>
    </row>
    <row r="45" spans="1:12" x14ac:dyDescent="0.25">
      <c r="A45" s="75"/>
      <c r="B45" s="81">
        <v>45946</v>
      </c>
      <c r="C45" s="79">
        <v>120</v>
      </c>
      <c r="D45" s="80">
        <v>45946</v>
      </c>
      <c r="E45" s="79">
        <v>120</v>
      </c>
      <c r="F45" s="75"/>
      <c r="G45" s="75"/>
      <c r="H45" s="75"/>
      <c r="I45" s="75" t="b">
        <f t="shared" si="1"/>
        <v>0</v>
      </c>
      <c r="J45" s="75" t="b">
        <f t="shared" si="0"/>
        <v>0</v>
      </c>
      <c r="K45" s="75" t="b">
        <f t="shared" si="0"/>
        <v>0</v>
      </c>
      <c r="L45" s="75" t="b">
        <f t="shared" si="0"/>
        <v>0</v>
      </c>
    </row>
    <row r="46" spans="1:12" x14ac:dyDescent="0.25">
      <c r="A46" s="75"/>
      <c r="B46" s="78">
        <v>45947</v>
      </c>
      <c r="C46" s="76">
        <v>115</v>
      </c>
      <c r="D46" s="77">
        <v>45947</v>
      </c>
      <c r="E46" s="76">
        <v>150</v>
      </c>
      <c r="F46" s="75"/>
      <c r="G46" s="75"/>
      <c r="H46" s="75"/>
      <c r="I46" s="75" t="b">
        <f t="shared" si="1"/>
        <v>1</v>
      </c>
      <c r="J46" s="75" t="b">
        <f t="shared" si="0"/>
        <v>1</v>
      </c>
      <c r="K46" s="75" t="b">
        <f t="shared" si="0"/>
        <v>1</v>
      </c>
      <c r="L46" s="75" t="b">
        <f t="shared" si="0"/>
        <v>1</v>
      </c>
    </row>
  </sheetData>
  <mergeCells count="2">
    <mergeCell ref="D34:E34"/>
    <mergeCell ref="B34:C34"/>
  </mergeCells>
  <conditionalFormatting sqref="A2:C23">
    <cfRule type="expression" dxfId="6" priority="2">
      <formula>$C2=continent</formula>
    </cfRule>
    <cfRule type="expression" dxfId="5" priority="3">
      <formula>$A2=animal</formula>
    </cfRule>
  </conditionalFormatting>
  <conditionalFormatting sqref="B37:E46">
    <cfRule type="expression" dxfId="3" priority="1">
      <formula>OR($B37&lt;&gt;$D37,$C37&lt;&gt;$E37)</formula>
    </cfRule>
  </conditionalFormatting>
  <dataValidations count="2">
    <dataValidation type="list" allowBlank="1" showInputMessage="1" showErrorMessage="1" sqref="F3" xr:uid="{E47C3765-A738-43FE-B17B-93BA51DBAAE9}">
      <formula1>$A$2:$A$23</formula1>
    </dataValidation>
    <dataValidation type="list" allowBlank="1" showInputMessage="1" showErrorMessage="1" sqref="F5" xr:uid="{14694543-6BEC-47BE-BCCF-6A203F074DB2}">
      <formula1>$C$2:$C$23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5304-61A6-4DF3-A5DD-FE1E25828ABB}">
  <sheetPr codeName="Hoja1"/>
  <dimension ref="C2:G9"/>
  <sheetViews>
    <sheetView workbookViewId="0">
      <selection activeCell="E9" sqref="E9"/>
    </sheetView>
  </sheetViews>
  <sheetFormatPr baseColWidth="10" defaultRowHeight="15" x14ac:dyDescent="0.25"/>
  <cols>
    <col min="2" max="2" width="11.85546875" bestFit="1" customWidth="1"/>
    <col min="7" max="7" width="0" hidden="1" customWidth="1"/>
    <col min="8" max="8" width="11.85546875" bestFit="1" customWidth="1"/>
  </cols>
  <sheetData>
    <row r="2" spans="3:7" x14ac:dyDescent="0.25">
      <c r="C2" s="95" t="s">
        <v>105</v>
      </c>
    </row>
    <row r="3" spans="3:7" x14ac:dyDescent="0.25">
      <c r="C3" s="96" t="s">
        <v>106</v>
      </c>
      <c r="D3" s="96"/>
      <c r="G3" t="b">
        <v>1</v>
      </c>
    </row>
    <row r="4" spans="3:7" x14ac:dyDescent="0.25">
      <c r="C4" s="96" t="s">
        <v>107</v>
      </c>
      <c r="D4" s="96"/>
      <c r="G4" t="b">
        <v>1</v>
      </c>
    </row>
    <row r="5" spans="3:7" x14ac:dyDescent="0.25">
      <c r="C5" s="96" t="s">
        <v>108</v>
      </c>
      <c r="D5" s="96"/>
      <c r="G5" t="b">
        <v>1</v>
      </c>
    </row>
    <row r="6" spans="3:7" x14ac:dyDescent="0.25">
      <c r="C6" s="96" t="s">
        <v>109</v>
      </c>
      <c r="D6" s="96"/>
      <c r="G6" t="b">
        <v>1</v>
      </c>
    </row>
    <row r="7" spans="3:7" x14ac:dyDescent="0.25">
      <c r="C7" s="96" t="s">
        <v>110</v>
      </c>
      <c r="D7" s="96"/>
      <c r="G7" t="b">
        <v>1</v>
      </c>
    </row>
    <row r="9" spans="3:7" x14ac:dyDescent="0.25">
      <c r="C9" s="94" t="s">
        <v>111</v>
      </c>
      <c r="E9">
        <f>COUNTIF(G3:G7,TRUE)</f>
        <v>5</v>
      </c>
    </row>
  </sheetData>
  <mergeCells count="5">
    <mergeCell ref="C3:D3"/>
    <mergeCell ref="C4:D4"/>
    <mergeCell ref="C5:D5"/>
    <mergeCell ref="C6:D6"/>
    <mergeCell ref="C7:D7"/>
  </mergeCells>
  <conditionalFormatting sqref="C3:D7">
    <cfRule type="expression" dxfId="2" priority="1">
      <formula>G3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Check Box 3">
              <controlPr defaultSize="0" autoFill="0" autoLine="0" autoPict="0">
                <anchor moveWithCells="1">
                  <from>
                    <xdr:col>3</xdr:col>
                    <xdr:colOff>533400</xdr:colOff>
                    <xdr:row>1</xdr:row>
                    <xdr:rowOff>180975</xdr:rowOff>
                  </from>
                  <to>
                    <xdr:col>4</xdr:col>
                    <xdr:colOff>238125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" name="Check Box 4">
              <controlPr defaultSize="0" autoFill="0" autoLine="0" autoPict="0">
                <anchor moveWithCells="1">
                  <from>
                    <xdr:col>3</xdr:col>
                    <xdr:colOff>542925</xdr:colOff>
                    <xdr:row>2</xdr:row>
                    <xdr:rowOff>180975</xdr:rowOff>
                  </from>
                  <to>
                    <xdr:col>4</xdr:col>
                    <xdr:colOff>247650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5" name="Check Box 5">
              <controlPr defaultSize="0" autoFill="0" autoLine="0" autoPict="0">
                <anchor moveWithCells="1">
                  <from>
                    <xdr:col>3</xdr:col>
                    <xdr:colOff>542925</xdr:colOff>
                    <xdr:row>3</xdr:row>
                    <xdr:rowOff>180975</xdr:rowOff>
                  </from>
                  <to>
                    <xdr:col>4</xdr:col>
                    <xdr:colOff>247650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6" name="Check Box 6">
              <controlPr defaultSize="0" autoFill="0" autoLine="0" autoPict="0">
                <anchor moveWithCells="1">
                  <from>
                    <xdr:col>3</xdr:col>
                    <xdr:colOff>533400</xdr:colOff>
                    <xdr:row>4</xdr:row>
                    <xdr:rowOff>171450</xdr:rowOff>
                  </from>
                  <to>
                    <xdr:col>4</xdr:col>
                    <xdr:colOff>238125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7" name="Check Box 7">
              <controlPr defaultSize="0" autoFill="0" autoLine="0" autoPict="0">
                <anchor moveWithCells="1">
                  <from>
                    <xdr:col>3</xdr:col>
                    <xdr:colOff>542925</xdr:colOff>
                    <xdr:row>5</xdr:row>
                    <xdr:rowOff>171450</xdr:rowOff>
                  </from>
                  <to>
                    <xdr:col>4</xdr:col>
                    <xdr:colOff>247650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3DAE-0961-4616-9FD1-4254B07A0DCC}">
  <dimension ref="A1:G13"/>
  <sheetViews>
    <sheetView tabSelected="1" workbookViewId="0">
      <selection activeCell="H9" sqref="H9"/>
    </sheetView>
  </sheetViews>
  <sheetFormatPr baseColWidth="10" defaultRowHeight="15" x14ac:dyDescent="0.25"/>
  <cols>
    <col min="3" max="3" width="20" customWidth="1"/>
    <col min="4" max="4" width="16.85546875" customWidth="1"/>
    <col min="5" max="5" width="15.42578125" customWidth="1"/>
  </cols>
  <sheetData>
    <row r="1" spans="1:7" x14ac:dyDescent="0.25">
      <c r="A1" s="98" t="s">
        <v>112</v>
      </c>
      <c r="B1" s="97"/>
      <c r="C1" s="97"/>
      <c r="D1" s="97"/>
      <c r="E1" s="97"/>
    </row>
    <row r="3" spans="1:7" ht="30" x14ac:dyDescent="0.25">
      <c r="A3" s="99" t="s">
        <v>113</v>
      </c>
      <c r="B3" s="99" t="s">
        <v>32</v>
      </c>
      <c r="C3" s="100" t="s">
        <v>114</v>
      </c>
      <c r="D3" s="100" t="s">
        <v>115</v>
      </c>
      <c r="E3" s="100" t="s">
        <v>116</v>
      </c>
    </row>
    <row r="4" spans="1:7" x14ac:dyDescent="0.25">
      <c r="A4" s="97" t="s">
        <v>117</v>
      </c>
      <c r="B4" s="97">
        <v>85</v>
      </c>
      <c r="C4" s="97">
        <v>59</v>
      </c>
      <c r="D4" s="97">
        <v>50</v>
      </c>
      <c r="E4" s="97">
        <v>81</v>
      </c>
      <c r="G4" s="75"/>
    </row>
    <row r="5" spans="1:7" x14ac:dyDescent="0.25">
      <c r="A5" s="97" t="s">
        <v>118</v>
      </c>
      <c r="B5" s="97">
        <v>74</v>
      </c>
      <c r="C5" s="97">
        <v>82</v>
      </c>
      <c r="D5" s="97">
        <v>86</v>
      </c>
      <c r="E5" s="97">
        <v>51</v>
      </c>
      <c r="G5" s="75"/>
    </row>
    <row r="6" spans="1:7" x14ac:dyDescent="0.25">
      <c r="A6" s="97" t="s">
        <v>119</v>
      </c>
      <c r="B6" s="97">
        <v>99</v>
      </c>
      <c r="C6" s="97">
        <v>51</v>
      </c>
      <c r="D6" s="97">
        <v>55</v>
      </c>
      <c r="E6" s="97">
        <v>81</v>
      </c>
      <c r="G6" s="75"/>
    </row>
    <row r="7" spans="1:7" x14ac:dyDescent="0.25">
      <c r="A7" s="97" t="s">
        <v>120</v>
      </c>
      <c r="B7" s="97">
        <v>60</v>
      </c>
      <c r="C7" s="97">
        <v>79</v>
      </c>
      <c r="D7" s="97">
        <v>88</v>
      </c>
      <c r="E7" s="97">
        <v>89</v>
      </c>
      <c r="G7" s="75"/>
    </row>
    <row r="8" spans="1:7" x14ac:dyDescent="0.25">
      <c r="A8" s="97" t="s">
        <v>121</v>
      </c>
      <c r="B8" s="97">
        <v>91</v>
      </c>
      <c r="C8" s="97">
        <v>73</v>
      </c>
      <c r="D8" s="97">
        <v>90</v>
      </c>
      <c r="E8" s="97">
        <v>69</v>
      </c>
      <c r="G8" s="75"/>
    </row>
    <row r="9" spans="1:7" x14ac:dyDescent="0.25">
      <c r="A9" s="97" t="s">
        <v>122</v>
      </c>
      <c r="B9" s="97">
        <v>69</v>
      </c>
      <c r="C9" s="97">
        <v>85</v>
      </c>
      <c r="D9" s="97">
        <v>67</v>
      </c>
      <c r="E9" s="97">
        <v>85</v>
      </c>
      <c r="G9" s="75"/>
    </row>
    <row r="10" spans="1:7" x14ac:dyDescent="0.25">
      <c r="A10" s="97" t="s">
        <v>123</v>
      </c>
      <c r="B10" s="97">
        <v>64</v>
      </c>
      <c r="C10" s="97">
        <v>88</v>
      </c>
      <c r="D10" s="97">
        <v>65</v>
      </c>
      <c r="E10" s="97">
        <v>61</v>
      </c>
      <c r="G10" s="75"/>
    </row>
    <row r="11" spans="1:7" x14ac:dyDescent="0.25">
      <c r="A11" s="97" t="s">
        <v>124</v>
      </c>
      <c r="B11" s="97">
        <v>89</v>
      </c>
      <c r="C11" s="97">
        <v>78</v>
      </c>
      <c r="D11" s="97">
        <v>54</v>
      </c>
      <c r="E11" s="97">
        <v>61</v>
      </c>
      <c r="G11" s="75"/>
    </row>
    <row r="12" spans="1:7" x14ac:dyDescent="0.25">
      <c r="A12" s="97" t="s">
        <v>125</v>
      </c>
      <c r="B12" s="97">
        <v>82</v>
      </c>
      <c r="C12" s="97">
        <v>84</v>
      </c>
      <c r="D12" s="97">
        <v>91</v>
      </c>
      <c r="E12" s="97">
        <v>96</v>
      </c>
      <c r="G12" s="75"/>
    </row>
    <row r="13" spans="1:7" x14ac:dyDescent="0.25">
      <c r="A13" s="97" t="s">
        <v>126</v>
      </c>
      <c r="B13" s="97">
        <v>51</v>
      </c>
      <c r="C13" s="97">
        <v>50</v>
      </c>
      <c r="D13" s="97">
        <v>92</v>
      </c>
      <c r="E13" s="97">
        <v>68</v>
      </c>
      <c r="G13" s="75"/>
    </row>
  </sheetData>
  <conditionalFormatting sqref="B4:E13">
    <cfRule type="expression" dxfId="1" priority="1">
      <formula>MIN(B$4:B$13)=B4</formula>
    </cfRule>
    <cfRule type="expression" dxfId="0" priority="2">
      <formula>MAX(B$4:B$13)=B4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Dynamic Named Ranges</vt:lpstr>
      <vt:lpstr>Excel Tables</vt:lpstr>
      <vt:lpstr>Structured Reference</vt:lpstr>
      <vt:lpstr>Data Validation</vt:lpstr>
      <vt:lpstr>DT - Example 1</vt:lpstr>
      <vt:lpstr>DT - Example 2</vt:lpstr>
      <vt:lpstr>Conditional Formatting</vt:lpstr>
      <vt:lpstr>Checkboxes</vt:lpstr>
      <vt:lpstr>KPIs</vt:lpstr>
      <vt:lpstr>animal</vt:lpstr>
      <vt:lpstr>continent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Cotrina</dc:creator>
  <cp:lastModifiedBy>josecotrinalejabo@gmail.com</cp:lastModifiedBy>
  <dcterms:created xsi:type="dcterms:W3CDTF">2015-06-05T18:17:20Z</dcterms:created>
  <dcterms:modified xsi:type="dcterms:W3CDTF">2026-02-22T19:12:58Z</dcterms:modified>
</cp:coreProperties>
</file>