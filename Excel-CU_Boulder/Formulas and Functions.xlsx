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c\Downloads\"/>
    </mc:Choice>
  </mc:AlternateContent>
  <xr:revisionPtr revIDLastSave="0" documentId="8_{321A94B1-920D-4D9B-BCBB-A00B25650F4D}" xr6:coauthVersionLast="47" xr6:coauthVersionMax="47" xr10:uidLastSave="{00000000-0000-0000-0000-000000000000}"/>
  <bookViews>
    <workbookView xWindow="-120" yWindow="-120" windowWidth="20730" windowHeight="11160" firstSheet="4" activeTab="12" xr2:uid="{79901326-1A1D-4E92-A10E-E862E605C9BF}"/>
  </bookViews>
  <sheets>
    <sheet name="Introduction" sheetId="1" r:id="rId1"/>
    <sheet name="Counting Basics" sheetId="2" r:id="rId2"/>
    <sheet name="CB - Examples" sheetId="3" r:id="rId3"/>
    <sheet name="Total, Aver, Max - Min" sheetId="4" r:id="rId4"/>
    <sheet name="Round" sheetId="5" r:id="rId5"/>
    <sheet name="Nexting" sheetId="6" r:id="rId6"/>
    <sheet name="IF - FIS" sheetId="7" r:id="rId7"/>
    <sheet name="AND - OR" sheetId="8" r:id="rId8"/>
    <sheet name="XLOOP" sheetId="9" r:id="rId9"/>
    <sheet name="INDEX" sheetId="10" r:id="rId10"/>
    <sheet name="MATCH" sheetId="11" r:id="rId11"/>
    <sheet name="OFFSET" sheetId="12" r:id="rId12"/>
    <sheet name="Hoja13" sheetId="13" r:id="rId13"/>
  </sheets>
  <definedNames>
    <definedName name="adasd">MATCH!$G$15</definedName>
    <definedName name="amount">'IF - FIS'!$C$22</definedName>
    <definedName name="cap">XLOOP!$G$29:$G$32</definedName>
    <definedName name="col">INDEX!$F$7</definedName>
    <definedName name="colm">INDEX!$F$7</definedName>
    <definedName name="costumer">MATCH!$G$15</definedName>
    <definedName name="costumers">MATCH!$B$16:$B$25</definedName>
    <definedName name="dates">MATCH!$C$16:$C$25</definedName>
    <definedName name="disc">'IF - FIS'!$C$23</definedName>
    <definedName name="discount">'IF - FIS'!$C$23</definedName>
    <definedName name="dwarfname">XLOOP!$E$4</definedName>
    <definedName name="estate">Introduction!$B$5</definedName>
    <definedName name="iddx">MATCH!$G$16</definedName>
    <definedName name="idx">INDEX!$B$6</definedName>
    <definedName name="INDEX">XLOOP!$B$29:$B$32</definedName>
    <definedName name="ISX">INDEX!$B$6</definedName>
    <definedName name="M">XLOOP!$B$13:$B$24</definedName>
    <definedName name="Mammal">XLOOP!$A$13:$A$24</definedName>
    <definedName name="name_mammal">XLOOP!$F$14</definedName>
    <definedName name="quarter">MATCH!$D$37</definedName>
    <definedName name="quarters">MATCH!$C$29:$E$29</definedName>
    <definedName name="region">MATCH!$D$36</definedName>
    <definedName name="regions">MATCH!$B$30:$B$33</definedName>
    <definedName name="RISKL">XLOOP!$C$29:$C$32</definedName>
    <definedName name="row">INDEX!$F$6</definedName>
    <definedName name="s">MATCH!$G$15</definedName>
    <definedName name="sales">'Total, Aver, Max - Min'!$F$24:$F$34</definedName>
    <definedName name="Sellers">'Total, Aver, Max - Min'!$A$24:$A$34</definedName>
    <definedName name="VEN">XLOOP!$H$29:$H$32</definedName>
    <definedName name="VO_2">XLOOP!$C$13:$C$24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2" l="1"/>
  <c r="D4" i="12"/>
  <c r="E4" i="12"/>
  <c r="F4" i="12"/>
  <c r="G4" i="12"/>
  <c r="C5" i="12"/>
  <c r="D5" i="12"/>
  <c r="E5" i="12"/>
  <c r="F5" i="12"/>
  <c r="G5" i="12"/>
  <c r="C6" i="12"/>
  <c r="D6" i="12"/>
  <c r="E6" i="12"/>
  <c r="F6" i="12"/>
  <c r="G6" i="12"/>
  <c r="C7" i="12"/>
  <c r="D7" i="12"/>
  <c r="E7" i="12"/>
  <c r="F7" i="12"/>
  <c r="G7" i="12"/>
  <c r="C8" i="12"/>
  <c r="D8" i="12"/>
  <c r="E8" i="12"/>
  <c r="F8" i="12"/>
  <c r="G8" i="12"/>
  <c r="D3" i="12"/>
  <c r="E3" i="12"/>
  <c r="F3" i="12"/>
  <c r="G3" i="12"/>
  <c r="C3" i="12"/>
  <c r="D38" i="11" a="1"/>
  <c r="D38" i="11"/>
  <c r="D41" i="11"/>
  <c r="D40" i="11"/>
  <c r="G16" i="11"/>
  <c r="G17" i="11" s="1" a="1"/>
  <c r="G17" i="11" s="1"/>
  <c r="F7" i="11"/>
  <c r="F6" i="11"/>
  <c r="H12" i="10" a="1"/>
  <c r="H12" i="10" s="1"/>
  <c r="F12" i="10" a="1"/>
  <c r="F12" i="10" s="1"/>
  <c r="F10" i="10" a="1"/>
  <c r="F10" i="10" s="1"/>
  <c r="F8" i="10" a="1"/>
  <c r="F8" i="10" s="1"/>
  <c r="B7" i="10" a="1"/>
  <c r="B7" i="10" s="1"/>
  <c r="I35" i="9"/>
  <c r="D35" i="9"/>
  <c r="F16" i="9"/>
  <c r="F15" i="9"/>
  <c r="E5" i="9"/>
  <c r="K27" i="8"/>
  <c r="K26" i="8"/>
  <c r="K25" i="8"/>
  <c r="K24" i="8"/>
  <c r="K23" i="8"/>
  <c r="K22" i="8"/>
  <c r="K21" i="8"/>
  <c r="K20" i="8"/>
  <c r="J27" i="8"/>
  <c r="J26" i="8"/>
  <c r="J25" i="8"/>
  <c r="J24" i="8"/>
  <c r="J23" i="8"/>
  <c r="J22" i="8"/>
  <c r="J21" i="8"/>
  <c r="J20" i="8"/>
  <c r="H27" i="8"/>
  <c r="H26" i="8"/>
  <c r="H25" i="8"/>
  <c r="H24" i="8"/>
  <c r="H23" i="8"/>
  <c r="H22" i="8"/>
  <c r="H21" i="8"/>
  <c r="I27" i="8"/>
  <c r="I26" i="8"/>
  <c r="I25" i="8"/>
  <c r="I24" i="8"/>
  <c r="I23" i="8"/>
  <c r="I22" i="8"/>
  <c r="I21" i="8"/>
  <c r="I20" i="8"/>
  <c r="H20" i="8"/>
  <c r="E20" i="8"/>
  <c r="K13" i="8"/>
  <c r="K12" i="8"/>
  <c r="K11" i="8"/>
  <c r="K10" i="8"/>
  <c r="K9" i="8"/>
  <c r="K8" i="8"/>
  <c r="K7" i="8"/>
  <c r="K6" i="8"/>
  <c r="K5" i="8"/>
  <c r="K4" i="8"/>
  <c r="J4" i="8"/>
  <c r="J13" i="8"/>
  <c r="J12" i="8"/>
  <c r="J11" i="8"/>
  <c r="J10" i="8"/>
  <c r="J9" i="8"/>
  <c r="J8" i="8"/>
  <c r="J7" i="8"/>
  <c r="J6" i="8"/>
  <c r="J5" i="8"/>
  <c r="I13" i="8"/>
  <c r="I12" i="8"/>
  <c r="I11" i="8"/>
  <c r="I10" i="8"/>
  <c r="I9" i="8"/>
  <c r="I8" i="8"/>
  <c r="I7" i="8"/>
  <c r="I6" i="8"/>
  <c r="I5" i="8"/>
  <c r="I4" i="8"/>
  <c r="E4" i="8"/>
  <c r="F4" i="8" s="1"/>
  <c r="H13" i="8"/>
  <c r="H12" i="8"/>
  <c r="H11" i="8"/>
  <c r="H10" i="8"/>
  <c r="H9" i="8"/>
  <c r="H8" i="8"/>
  <c r="H7" i="8"/>
  <c r="H6" i="8"/>
  <c r="H5" i="8"/>
  <c r="H4" i="8"/>
  <c r="F27" i="8"/>
  <c r="F26" i="8"/>
  <c r="F25" i="8"/>
  <c r="F24" i="8"/>
  <c r="F23" i="8"/>
  <c r="F22" i="8"/>
  <c r="F21" i="8"/>
  <c r="F20" i="8"/>
  <c r="E27" i="8"/>
  <c r="E26" i="8"/>
  <c r="E25" i="8"/>
  <c r="E24" i="8"/>
  <c r="E23" i="8"/>
  <c r="E22" i="8"/>
  <c r="E21" i="8"/>
  <c r="F13" i="8"/>
  <c r="F12" i="8"/>
  <c r="F11" i="8"/>
  <c r="F10" i="8"/>
  <c r="F9" i="8"/>
  <c r="F8" i="8"/>
  <c r="F7" i="8"/>
  <c r="F6" i="8"/>
  <c r="F5" i="8"/>
  <c r="E13" i="8"/>
  <c r="E12" i="8"/>
  <c r="E11" i="8"/>
  <c r="E10" i="8"/>
  <c r="E9" i="8"/>
  <c r="E8" i="8"/>
  <c r="E7" i="8"/>
  <c r="E6" i="8"/>
  <c r="E5" i="8"/>
  <c r="E11" i="7"/>
  <c r="E10" i="7"/>
  <c r="E9" i="7"/>
  <c r="E8" i="7"/>
  <c r="E7" i="7"/>
  <c r="E6" i="7"/>
  <c r="E5" i="7"/>
  <c r="E4" i="7"/>
  <c r="D26" i="7"/>
  <c r="I16" i="7"/>
  <c r="H16" i="7"/>
  <c r="G16" i="7"/>
  <c r="C24" i="7"/>
  <c r="C23" i="7" a="1"/>
  <c r="C23" i="7" s="1"/>
  <c r="D4" i="7"/>
  <c r="D11" i="7"/>
  <c r="D10" i="7"/>
  <c r="D9" i="7"/>
  <c r="D8" i="7"/>
  <c r="D7" i="7"/>
  <c r="D6" i="7"/>
  <c r="D5" i="7"/>
  <c r="I3" i="6" a="1"/>
  <c r="I3" i="6" s="1"/>
  <c r="B8" i="6"/>
  <c r="K41" i="5"/>
  <c r="K40" i="5"/>
  <c r="K39" i="5"/>
  <c r="K38" i="5"/>
  <c r="I41" i="5"/>
  <c r="I40" i="5"/>
  <c r="I39" i="5"/>
  <c r="H41" i="5"/>
  <c r="H40" i="5"/>
  <c r="H39" i="5"/>
  <c r="I38" i="5"/>
  <c r="H38" i="5"/>
  <c r="H56" i="5"/>
  <c r="H55" i="5"/>
  <c r="H54" i="5"/>
  <c r="H53" i="5"/>
  <c r="H52" i="5"/>
  <c r="H51" i="5"/>
  <c r="H50" i="5"/>
  <c r="H49" i="5"/>
  <c r="H48" i="5"/>
  <c r="H47" i="5"/>
  <c r="H46" i="5"/>
  <c r="H45" i="5"/>
  <c r="G56" i="5"/>
  <c r="G55" i="5"/>
  <c r="G54" i="5"/>
  <c r="G53" i="5"/>
  <c r="G52" i="5"/>
  <c r="G51" i="5"/>
  <c r="G50" i="5"/>
  <c r="G49" i="5"/>
  <c r="G48" i="5"/>
  <c r="G47" i="5"/>
  <c r="G46" i="5"/>
  <c r="G45" i="5"/>
  <c r="C54" i="5"/>
  <c r="C53" i="5"/>
  <c r="C52" i="5"/>
  <c r="C51" i="5"/>
  <c r="C50" i="5"/>
  <c r="C49" i="5"/>
  <c r="C48" i="5"/>
  <c r="C47" i="5"/>
  <c r="C46" i="5"/>
  <c r="C45" i="5"/>
  <c r="B41" i="5"/>
  <c r="G33" i="5"/>
  <c r="G32" i="5"/>
  <c r="G31" i="5"/>
  <c r="G30" i="5"/>
  <c r="G29" i="5"/>
  <c r="G28" i="5"/>
  <c r="G27" i="5"/>
  <c r="D28" i="5"/>
  <c r="D29" i="5"/>
  <c r="D30" i="5"/>
  <c r="D31" i="5"/>
  <c r="D32" i="5"/>
  <c r="D33" i="5"/>
  <c r="D27" i="5"/>
  <c r="C28" i="5"/>
  <c r="C29" i="5"/>
  <c r="C30" i="5"/>
  <c r="C31" i="5"/>
  <c r="C32" i="5"/>
  <c r="C33" i="5"/>
  <c r="C27" i="5"/>
  <c r="F23" i="5"/>
  <c r="F22" i="5"/>
  <c r="G23" i="5"/>
  <c r="G22" i="5"/>
  <c r="E17" i="5"/>
  <c r="E16" i="5"/>
  <c r="D17" i="5"/>
  <c r="D16" i="5"/>
  <c r="C17" i="5"/>
  <c r="C16" i="5"/>
  <c r="J6" i="5" a="1"/>
  <c r="J6" i="5" s="1"/>
  <c r="I6" i="5" a="1"/>
  <c r="I6" i="5" s="1"/>
  <c r="H6" i="5" a="1"/>
  <c r="H6" i="5" s="1"/>
  <c r="G6" i="5" a="1"/>
  <c r="G6" i="5" s="1"/>
  <c r="F9" i="5"/>
  <c r="F8" i="5"/>
  <c r="F7" i="5"/>
  <c r="F6" i="5"/>
  <c r="C7" i="5"/>
  <c r="C6" i="5"/>
  <c r="C10" i="5"/>
  <c r="C9" i="5"/>
  <c r="C8" i="5"/>
  <c r="C5" i="5"/>
  <c r="D46" i="4"/>
  <c r="D45" i="4"/>
  <c r="D44" i="4"/>
  <c r="D41" i="4"/>
  <c r="D40" i="4"/>
  <c r="D39" i="4"/>
  <c r="C46" i="4"/>
  <c r="C45" i="4"/>
  <c r="C44" i="4"/>
  <c r="C41" i="4"/>
  <c r="C39" i="4"/>
  <c r="C40" i="4"/>
  <c r="F35" i="4"/>
  <c r="F34" i="4"/>
  <c r="F33" i="4"/>
  <c r="F32" i="4"/>
  <c r="F31" i="4"/>
  <c r="F30" i="4"/>
  <c r="F29" i="4"/>
  <c r="F28" i="4"/>
  <c r="F27" i="4"/>
  <c r="F26" i="4"/>
  <c r="F25" i="4"/>
  <c r="F24" i="4"/>
  <c r="D17" i="4"/>
  <c r="D16" i="4"/>
  <c r="D15" i="4"/>
  <c r="J11" i="4"/>
  <c r="J10" i="4"/>
  <c r="J9" i="4"/>
  <c r="J8" i="4"/>
  <c r="J7" i="4"/>
  <c r="J6" i="4"/>
  <c r="J5" i="4"/>
  <c r="J4" i="4"/>
  <c r="J3" i="4"/>
  <c r="J2" i="4"/>
  <c r="F12" i="4"/>
  <c r="C12" i="4"/>
  <c r="D12" i="4"/>
  <c r="E12" i="4"/>
  <c r="G12" i="4"/>
  <c r="H11" i="4"/>
  <c r="H10" i="4"/>
  <c r="H9" i="4"/>
  <c r="H8" i="4"/>
  <c r="H7" i="4"/>
  <c r="H6" i="4"/>
  <c r="H5" i="4"/>
  <c r="H4" i="4"/>
  <c r="H3" i="4"/>
  <c r="H2" i="4"/>
  <c r="D36" i="3" a="1"/>
  <c r="D36" i="3" s="1"/>
  <c r="C37" i="3" a="1"/>
  <c r="C37" i="3" s="1"/>
  <c r="E24" i="3"/>
  <c r="F24" i="3"/>
  <c r="G24" i="3"/>
  <c r="H24" i="3"/>
  <c r="D24" i="3"/>
  <c r="B25" i="3"/>
  <c r="C26" i="3"/>
  <c r="C27" i="3"/>
  <c r="C28" i="3"/>
  <c r="C29" i="3"/>
  <c r="C30" i="3"/>
  <c r="C31" i="3"/>
  <c r="C32" i="3"/>
  <c r="C33" i="3"/>
  <c r="C34" i="3"/>
  <c r="C25" i="3"/>
  <c r="E23" i="3"/>
  <c r="F23" i="3"/>
  <c r="G23" i="3"/>
  <c r="H23" i="3"/>
  <c r="D23" i="3"/>
  <c r="E19" i="3"/>
  <c r="E20" i="3"/>
  <c r="G14" i="3"/>
  <c r="H14" i="3"/>
  <c r="E16" i="3"/>
  <c r="E15" i="3"/>
  <c r="E14" i="3"/>
  <c r="H3" i="2"/>
  <c r="G3" i="2"/>
  <c r="L12" i="1"/>
  <c r="M7" i="1"/>
  <c r="M5" i="1"/>
  <c r="L5" i="1"/>
  <c r="J3" i="1"/>
  <c r="F13" i="1"/>
  <c r="F12" i="1"/>
  <c r="D13" i="1"/>
  <c r="D12" i="1"/>
  <c r="H2" i="1" a="1"/>
  <c r="H2" i="1" s="1"/>
  <c r="D8" i="1" a="1"/>
  <c r="D8" i="1" s="1"/>
  <c r="D6" i="1" a="1"/>
  <c r="D6" i="1" s="1"/>
  <c r="D2" i="1" a="1"/>
  <c r="D2" i="1" s="1"/>
  <c r="B4" i="1" a="1"/>
  <c r="B4" i="1" s="1"/>
  <c r="G11" i="12" l="1" a="1"/>
  <c r="G11" i="1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<sst xmlns="http://schemas.openxmlformats.org/spreadsheetml/2006/main" count="331" uniqueCount="233">
  <si>
    <t>Alligator</t>
  </si>
  <si>
    <t>Donkey</t>
  </si>
  <si>
    <t>Lion</t>
  </si>
  <si>
    <t>Zebra</t>
  </si>
  <si>
    <t>Red</t>
  </si>
  <si>
    <t>Green</t>
  </si>
  <si>
    <t>MISSISSIPPI</t>
  </si>
  <si>
    <t>hello</t>
  </si>
  <si>
    <t>Tipo 1</t>
  </si>
  <si>
    <t>Tipo 2</t>
  </si>
  <si>
    <t>something</t>
  </si>
  <si>
    <t>Name</t>
  </si>
  <si>
    <t>Student ID</t>
  </si>
  <si>
    <t>Homework 1</t>
  </si>
  <si>
    <t>Homework 2</t>
  </si>
  <si>
    <t>Homework 3</t>
  </si>
  <si>
    <t>Homework 4</t>
  </si>
  <si>
    <t>Homework 5</t>
  </si>
  <si>
    <t>Apple, Arnold</t>
  </si>
  <si>
    <t>Bear, Betty</t>
  </si>
  <si>
    <t>Chocolate, Charlie</t>
  </si>
  <si>
    <t>Hansel, Henry</t>
  </si>
  <si>
    <t>Jacob, Jake</t>
  </si>
  <si>
    <t>Maller, Martha</t>
  </si>
  <si>
    <t>Stuckup, Stacy</t>
  </si>
  <si>
    <t>Time, Tim</t>
  </si>
  <si>
    <t>White, Walter</t>
  </si>
  <si>
    <t>Whitman, Walt</t>
  </si>
  <si>
    <t>Alternate:</t>
  </si>
  <si>
    <t>Number of students:</t>
  </si>
  <si>
    <t>Number of assignments:</t>
  </si>
  <si>
    <t>Missing assignments:</t>
  </si>
  <si>
    <t>Row and Column of Martha Maller's Homework 3 score?</t>
  </si>
  <si>
    <t>Row:</t>
  </si>
  <si>
    <t>Column:</t>
  </si>
  <si>
    <t>Example 2</t>
  </si>
  <si>
    <t>Average</t>
  </si>
  <si>
    <t>Average w/ blanks</t>
  </si>
  <si>
    <t>Homework 3 Summary:</t>
  </si>
  <si>
    <t>Average:</t>
  </si>
  <si>
    <t>Max:</t>
  </si>
  <si>
    <t>Min:</t>
  </si>
  <si>
    <t>Seller</t>
  </si>
  <si>
    <t>Buyer</t>
  </si>
  <si>
    <t>Cookie</t>
  </si>
  <si>
    <t>Quantity</t>
  </si>
  <si>
    <t>Price ($)</t>
  </si>
  <si>
    <t>Charlie</t>
  </si>
  <si>
    <t>Sally</t>
  </si>
  <si>
    <t>Choco Chip</t>
  </si>
  <si>
    <t>Ella</t>
  </si>
  <si>
    <t>Jimmy</t>
  </si>
  <si>
    <t>Nutty Butter</t>
  </si>
  <si>
    <t>Max</t>
  </si>
  <si>
    <t>Veronica</t>
  </si>
  <si>
    <t>Dana</t>
  </si>
  <si>
    <t>Leila</t>
  </si>
  <si>
    <t>Snicky Doodles</t>
  </si>
  <si>
    <t>Ezra</t>
  </si>
  <si>
    <t>Tricia</t>
  </si>
  <si>
    <t>TOTAL:</t>
  </si>
  <si>
    <t>Top 3 Sales</t>
  </si>
  <si>
    <t>Who?</t>
  </si>
  <si>
    <t>Lowest 3 Sales</t>
  </si>
  <si>
    <t>Sales ($)</t>
  </si>
  <si>
    <t>num_digits</t>
  </si>
  <si>
    <t>result</t>
  </si>
  <si>
    <t>X</t>
  </si>
  <si>
    <t>ROUND(X,0)</t>
  </si>
  <si>
    <t>ROUNDUP(X,0)</t>
  </si>
  <si>
    <t>ROUNDDOWN(X,0)</t>
  </si>
  <si>
    <t>INT(X)</t>
  </si>
  <si>
    <t>TRUNC(X)</t>
  </si>
  <si>
    <t>Sig:</t>
  </si>
  <si>
    <t>MROUND</t>
  </si>
  <si>
    <t>CEILING</t>
  </si>
  <si>
    <t>FLOOR</t>
  </si>
  <si>
    <t>Number</t>
  </si>
  <si>
    <t>Divisor</t>
  </si>
  <si>
    <t>INT</t>
  </si>
  <si>
    <t>Rem/Mod</t>
  </si>
  <si>
    <t>Time</t>
  </si>
  <si>
    <t>Prices</t>
  </si>
  <si>
    <t>eggs</t>
  </si>
  <si>
    <t>How many dozens do we need?</t>
  </si>
  <si>
    <t>dozen eggs</t>
  </si>
  <si>
    <t>Determine if a number is even</t>
  </si>
  <si>
    <t>Determine if a number is divisible by 3</t>
  </si>
  <si>
    <t>ounces</t>
  </si>
  <si>
    <t>lb</t>
  </si>
  <si>
    <t>oz.</t>
  </si>
  <si>
    <t>lb-oz</t>
  </si>
  <si>
    <t>Type 1</t>
  </si>
  <si>
    <t>Type 2</t>
  </si>
  <si>
    <t>Item</t>
  </si>
  <si>
    <t>Cost</t>
  </si>
  <si>
    <t>Equipment</t>
  </si>
  <si>
    <t>Software Licenses</t>
  </si>
  <si>
    <t>Contractor Fees</t>
  </si>
  <si>
    <t>Travel</t>
  </si>
  <si>
    <t>Training</t>
  </si>
  <si>
    <t>Total</t>
  </si>
  <si>
    <t>Date</t>
  </si>
  <si>
    <t>Expense</t>
  </si>
  <si>
    <t>Amount</t>
  </si>
  <si>
    <t>Groceries</t>
  </si>
  <si>
    <t>Latest Expense:</t>
  </si>
  <si>
    <t>Gas</t>
  </si>
  <si>
    <t>Utilities</t>
  </si>
  <si>
    <t>Rent</t>
  </si>
  <si>
    <t>Dining Out</t>
  </si>
  <si>
    <t>Extra vacation if an employee has worked at least 10 years</t>
  </si>
  <si>
    <t>Years Worked</t>
  </si>
  <si>
    <t>Worked more than 10 years?</t>
  </si>
  <si>
    <t>T/F alternative</t>
  </si>
  <si>
    <t>John</t>
  </si>
  <si>
    <t>Maria</t>
  </si>
  <si>
    <t>Steve</t>
  </si>
  <si>
    <t>Janet</t>
  </si>
  <si>
    <t>Marvin</t>
  </si>
  <si>
    <t>Charlotte</t>
  </si>
  <si>
    <t>Rodrigo</t>
  </si>
  <si>
    <t>Penelope</t>
  </si>
  <si>
    <t>Purchase Amount</t>
  </si>
  <si>
    <t>Discount</t>
  </si>
  <si>
    <t>$0-$100</t>
  </si>
  <si>
    <t>$100-$250</t>
  </si>
  <si>
    <t>$250-$500</t>
  </si>
  <si>
    <t>$500-$1000</t>
  </si>
  <si>
    <t>&gt;$1000</t>
  </si>
  <si>
    <t>Purchase amt:</t>
  </si>
  <si>
    <t>% discount:</t>
  </si>
  <si>
    <t>Subtotal:</t>
  </si>
  <si>
    <t>Old way for multialternative IF:</t>
  </si>
  <si>
    <t>Other Examples</t>
  </si>
  <si>
    <t>Type 3</t>
  </si>
  <si>
    <t>Free shipping inside the United States, but only if the order total is greater than $100</t>
  </si>
  <si>
    <t>Order ID</t>
  </si>
  <si>
    <t>Order Total</t>
  </si>
  <si>
    <t>Country</t>
  </si>
  <si>
    <t>AND</t>
  </si>
  <si>
    <t>Free Shipping?</t>
  </si>
  <si>
    <t>Logical Tests</t>
  </si>
  <si>
    <t>Product</t>
  </si>
  <si>
    <t>T/F</t>
  </si>
  <si>
    <t>USA</t>
  </si>
  <si>
    <t>Canada</t>
  </si>
  <si>
    <t>Mexico</t>
  </si>
  <si>
    <t>Extra vacation if an employee has worked at least 10 years or is over the age of 60.</t>
  </si>
  <si>
    <t>Age</t>
  </si>
  <si>
    <t>OR</t>
  </si>
  <si>
    <t>Extra Vacation?</t>
  </si>
  <si>
    <t>Sum</t>
  </si>
  <si>
    <t>Score</t>
  </si>
  <si>
    <t>Doc</t>
  </si>
  <si>
    <t>Grumpy</t>
  </si>
  <si>
    <t>Score Lookup</t>
  </si>
  <si>
    <t>Happy</t>
  </si>
  <si>
    <t>Name:</t>
  </si>
  <si>
    <t>Sleepy</t>
  </si>
  <si>
    <t>Score:</t>
  </si>
  <si>
    <t>Bashful</t>
  </si>
  <si>
    <t>Sneezy</t>
  </si>
  <si>
    <t>Dopey</t>
  </si>
  <si>
    <t>Snow White</t>
  </si>
  <si>
    <t>Mammal</t>
  </si>
  <si>
    <t>M (kg)</t>
  </si>
  <si>
    <t>VO2 max (ml/min)</t>
  </si>
  <si>
    <t>Agouti</t>
  </si>
  <si>
    <t>Chipmunk</t>
  </si>
  <si>
    <t>Mammal:</t>
  </si>
  <si>
    <t>Horse</t>
  </si>
  <si>
    <t>Coyote</t>
  </si>
  <si>
    <t>Mass (kg):</t>
  </si>
  <si>
    <t>Dwarf mongoose</t>
  </si>
  <si>
    <t>VO2 max:</t>
  </si>
  <si>
    <t>Guinea pig</t>
  </si>
  <si>
    <t>Mouse</t>
  </si>
  <si>
    <t>Spring hare</t>
  </si>
  <si>
    <t>Waterbuck</t>
  </si>
  <si>
    <t>Wolf</t>
  </si>
  <si>
    <t>Woodmouse</t>
  </si>
  <si>
    <t>Pollution Index</t>
  </si>
  <si>
    <t>Risk Level</t>
  </si>
  <si>
    <t>Venue Capacity</t>
  </si>
  <si>
    <t>Venue Name</t>
  </si>
  <si>
    <t>Low</t>
  </si>
  <si>
    <t>Small Room</t>
  </si>
  <si>
    <t>Moderate</t>
  </si>
  <si>
    <t>Ballroom</t>
  </si>
  <si>
    <t>High</t>
  </si>
  <si>
    <t>Auditorium</t>
  </si>
  <si>
    <t>Critical</t>
  </si>
  <si>
    <t>Arena</t>
  </si>
  <si>
    <t>Pollution Index:</t>
  </si>
  <si>
    <t>No. attendees:</t>
  </si>
  <si>
    <t>Risk Level:</t>
  </si>
  <si>
    <t>Venue:</t>
  </si>
  <si>
    <t>Q1</t>
  </si>
  <si>
    <t>Q2</t>
  </si>
  <si>
    <t>Q3</t>
  </si>
  <si>
    <t>Alice</t>
  </si>
  <si>
    <t>Bob</t>
  </si>
  <si>
    <t>Carol</t>
  </si>
  <si>
    <t>Index:</t>
  </si>
  <si>
    <t>Sales:</t>
  </si>
  <si>
    <t>MATCH &amp; XMATCH</t>
  </si>
  <si>
    <t>Employee</t>
  </si>
  <si>
    <t>Sales</t>
  </si>
  <si>
    <t>Employee:</t>
  </si>
  <si>
    <t>Mary</t>
  </si>
  <si>
    <t>Paul</t>
  </si>
  <si>
    <t>Anna</t>
  </si>
  <si>
    <t>Most recent purchase</t>
  </si>
  <si>
    <t>Customer</t>
  </si>
  <si>
    <t>Purchase Date</t>
  </si>
  <si>
    <t>Customer:</t>
  </si>
  <si>
    <t>Brian</t>
  </si>
  <si>
    <t>Most recent purchase:</t>
  </si>
  <si>
    <t>Chloe</t>
  </si>
  <si>
    <t>David</t>
  </si>
  <si>
    <t>Emma</t>
  </si>
  <si>
    <t>Region</t>
  </si>
  <si>
    <t>North</t>
  </si>
  <si>
    <t>South</t>
  </si>
  <si>
    <t>East</t>
  </si>
  <si>
    <t>West</t>
  </si>
  <si>
    <t>Region:</t>
  </si>
  <si>
    <t>Quarter:</t>
  </si>
  <si>
    <t>Rows</t>
  </si>
  <si>
    <t>Columns</t>
  </si>
  <si>
    <t>Height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</si>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</sst>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_(&quot;$&quot;* #,##0.00_);_(&quot;$&quot;* \(#,##0.00\);_(&quot;$&quot;* &quot;-&quot;??_);_(@_)"/>
    <numFmt numFmtId="165" formatCode="&quot;$&quot;#,##0.00_);[Red]\(&quot;$&quot;#,##0.00\)"/>
    <numFmt numFmtId="171" formatCode="0.000"/>
    <numFmt numFmtId="174" formatCode="[$-F400]h:mm:ss\ AM/PM"/>
    <numFmt numFmtId="176" formatCode="_-[$$-2C0A]\ * #,##0.00_-;\-[$$-2C0A]\ * #,##0.00_-;_-[$$-2C0A]\ * &quot;-&quot;??_-;_-@_-"/>
    <numFmt numFmtId="177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Fill="1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22" fontId="0" fillId="2" borderId="0" xfId="0" applyNumberFormat="1" applyFill="1"/>
    <xf numFmtId="44" fontId="0" fillId="0" borderId="0" xfId="1" applyFont="1"/>
    <xf numFmtId="165" fontId="0" fillId="0" borderId="0" xfId="0" applyNumberFormat="1"/>
    <xf numFmtId="0" fontId="4" fillId="0" borderId="0" xfId="3" applyFont="1"/>
    <xf numFmtId="0" fontId="3" fillId="0" borderId="0" xfId="3" applyFont="1"/>
    <xf numFmtId="0" fontId="4" fillId="0" borderId="0" xfId="3" applyFont="1" applyAlignment="1">
      <alignment horizontal="right"/>
    </xf>
    <xf numFmtId="0" fontId="3" fillId="2" borderId="0" xfId="3" applyFont="1" applyFill="1"/>
    <xf numFmtId="0" fontId="0" fillId="0" borderId="0" xfId="0"/>
    <xf numFmtId="0" fontId="4" fillId="0" borderId="0" xfId="3" applyFont="1"/>
    <xf numFmtId="0" fontId="3" fillId="0" borderId="0" xfId="3" applyFont="1"/>
    <xf numFmtId="0" fontId="4" fillId="0" borderId="0" xfId="3" applyFont="1" applyAlignment="1">
      <alignment horizontal="right"/>
    </xf>
    <xf numFmtId="0" fontId="3" fillId="0" borderId="0" xfId="3" applyFont="1" applyAlignment="1">
      <alignment horizontal="right"/>
    </xf>
    <xf numFmtId="0" fontId="4" fillId="0" borderId="0" xfId="3" applyFont="1" applyAlignment="1">
      <alignment wrapText="1"/>
    </xf>
    <xf numFmtId="2" fontId="0" fillId="2" borderId="0" xfId="0" applyNumberFormat="1" applyFill="1"/>
    <xf numFmtId="0" fontId="0" fillId="0" borderId="0" xfId="0"/>
    <xf numFmtId="0" fontId="4" fillId="0" borderId="0" xfId="3" applyFont="1"/>
    <xf numFmtId="0" fontId="2" fillId="0" borderId="0" xfId="0" applyFont="1"/>
    <xf numFmtId="164" fontId="0" fillId="0" borderId="0" xfId="4" applyFont="1" applyFill="1" applyBorder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71" fontId="2" fillId="0" borderId="0" xfId="0" applyNumberFormat="1" applyFont="1"/>
    <xf numFmtId="171" fontId="0" fillId="0" borderId="0" xfId="0" applyNumberFormat="1"/>
    <xf numFmtId="1" fontId="0" fillId="0" borderId="0" xfId="0" applyNumberFormat="1"/>
    <xf numFmtId="0" fontId="0" fillId="0" borderId="0" xfId="0"/>
    <xf numFmtId="0" fontId="0" fillId="0" borderId="0" xfId="0"/>
    <xf numFmtId="176" fontId="0" fillId="0" borderId="0" xfId="1" applyNumberFormat="1" applyFont="1"/>
    <xf numFmtId="177" fontId="0" fillId="2" borderId="0" xfId="4" applyNumberFormat="1" applyFont="1" applyFill="1"/>
    <xf numFmtId="18" fontId="0" fillId="0" borderId="0" xfId="0" applyNumberFormat="1"/>
    <xf numFmtId="164" fontId="0" fillId="0" borderId="0" xfId="4" applyFont="1"/>
    <xf numFmtId="164" fontId="0" fillId="0" borderId="0" xfId="4" applyFont="1"/>
    <xf numFmtId="0" fontId="0" fillId="0" borderId="0" xfId="0"/>
    <xf numFmtId="0" fontId="0" fillId="0" borderId="0" xfId="0"/>
    <xf numFmtId="0" fontId="0" fillId="0" borderId="0" xfId="0"/>
    <xf numFmtId="174" fontId="0" fillId="0" borderId="0" xfId="0" applyNumberFormat="1"/>
    <xf numFmtId="0" fontId="0" fillId="0" borderId="0" xfId="0"/>
    <xf numFmtId="0" fontId="2" fillId="0" borderId="0" xfId="0" applyFont="1"/>
    <xf numFmtId="177" fontId="0" fillId="0" borderId="0" xfId="4" applyNumberFormat="1" applyFont="1"/>
    <xf numFmtId="0" fontId="0" fillId="0" borderId="0" xfId="0"/>
    <xf numFmtId="0" fontId="2" fillId="0" borderId="0" xfId="0" applyFont="1"/>
    <xf numFmtId="14" fontId="0" fillId="0" borderId="0" xfId="0" applyNumberFormat="1"/>
    <xf numFmtId="164" fontId="0" fillId="0" borderId="0" xfId="4" applyFont="1"/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/>
    <xf numFmtId="0" fontId="0" fillId="0" borderId="0" xfId="0" quotePrefix="1"/>
    <xf numFmtId="9" fontId="0" fillId="0" borderId="0" xfId="2" applyFont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right"/>
    </xf>
    <xf numFmtId="164" fontId="0" fillId="0" borderId="2" xfId="4" applyFont="1" applyBorder="1"/>
    <xf numFmtId="0" fontId="0" fillId="0" borderId="3" xfId="0" applyBorder="1" applyAlignment="1">
      <alignment horizontal="right"/>
    </xf>
    <xf numFmtId="9" fontId="0" fillId="0" borderId="4" xfId="2" applyFont="1" applyBorder="1"/>
    <xf numFmtId="0" fontId="0" fillId="0" borderId="5" xfId="0" applyBorder="1"/>
    <xf numFmtId="164" fontId="0" fillId="0" borderId="6" xfId="4" applyFont="1" applyBorder="1"/>
    <xf numFmtId="0" fontId="0" fillId="0" borderId="0" xfId="0" applyAlignment="1">
      <alignment horizontal="right"/>
    </xf>
    <xf numFmtId="0" fontId="0" fillId="0" borderId="0" xfId="0"/>
    <xf numFmtId="0" fontId="4" fillId="0" borderId="0" xfId="0" applyFont="1"/>
    <xf numFmtId="0" fontId="3" fillId="0" borderId="0" xfId="0" applyFont="1"/>
    <xf numFmtId="164" fontId="3" fillId="0" borderId="0" xfId="4" applyFont="1"/>
    <xf numFmtId="0" fontId="4" fillId="0" borderId="0" xfId="0" applyFont="1" applyAlignment="1">
      <alignment horizontal="center" wrapText="1"/>
    </xf>
    <xf numFmtId="0" fontId="3" fillId="0" borderId="1" xfId="3" applyFont="1" applyBorder="1" applyAlignment="1">
      <alignment horizontal="center"/>
    </xf>
    <xf numFmtId="0" fontId="0" fillId="0" borderId="0" xfId="0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 wrapText="1"/>
    </xf>
    <xf numFmtId="0" fontId="3" fillId="0" borderId="0" xfId="5"/>
    <xf numFmtId="0" fontId="4" fillId="0" borderId="0" xfId="3" applyFont="1"/>
    <xf numFmtId="0" fontId="3" fillId="0" borderId="0" xfId="3" applyFont="1"/>
    <xf numFmtId="0" fontId="3" fillId="0" borderId="3" xfId="3" applyFont="1" applyBorder="1"/>
    <xf numFmtId="0" fontId="3" fillId="0" borderId="5" xfId="3" applyFont="1" applyBorder="1"/>
    <xf numFmtId="0" fontId="3" fillId="0" borderId="4" xfId="3" applyFont="1" applyBorder="1" applyAlignment="1">
      <alignment horizontal="center"/>
    </xf>
    <xf numFmtId="0" fontId="3" fillId="0" borderId="6" xfId="3" applyFont="1" applyBorder="1" applyAlignment="1">
      <alignment horizontal="center"/>
    </xf>
    <xf numFmtId="0" fontId="3" fillId="0" borderId="2" xfId="3" applyFont="1" applyBorder="1" applyAlignment="1">
      <alignment horizontal="center"/>
    </xf>
    <xf numFmtId="0" fontId="3" fillId="0" borderId="0" xfId="5"/>
    <xf numFmtId="0" fontId="3" fillId="0" borderId="0" xfId="3" applyFont="1"/>
    <xf numFmtId="0" fontId="3" fillId="0" borderId="3" xfId="3" applyFont="1" applyBorder="1"/>
    <xf numFmtId="0" fontId="3" fillId="0" borderId="5" xfId="3" applyFont="1" applyBorder="1"/>
    <xf numFmtId="0" fontId="3" fillId="0" borderId="2" xfId="3" applyFont="1" applyBorder="1" applyAlignment="1">
      <alignment horizontal="center"/>
    </xf>
    <xf numFmtId="0" fontId="4" fillId="0" borderId="0" xfId="3" applyFont="1" applyAlignment="1">
      <alignment horizontal="center"/>
    </xf>
    <xf numFmtId="0" fontId="4" fillId="0" borderId="0" xfId="3" applyFont="1" applyAlignment="1">
      <alignment horizontal="center" wrapText="1"/>
    </xf>
    <xf numFmtId="0" fontId="3" fillId="0" borderId="0" xfId="3" applyFont="1" applyAlignment="1">
      <alignment horizontal="center"/>
    </xf>
    <xf numFmtId="0" fontId="3" fillId="0" borderId="1" xfId="3" applyFont="1" applyBorder="1"/>
    <xf numFmtId="0" fontId="3" fillId="0" borderId="4" xfId="3" applyFont="1" applyBorder="1" applyAlignment="1">
      <alignment horizontal="center"/>
    </xf>
    <xf numFmtId="0" fontId="3" fillId="0" borderId="6" xfId="3" applyFont="1" applyBorder="1" applyAlignment="1">
      <alignment horizontal="center"/>
    </xf>
    <xf numFmtId="0" fontId="3" fillId="0" borderId="0" xfId="5"/>
    <xf numFmtId="0" fontId="3" fillId="0" borderId="7" xfId="5" applyBorder="1" applyAlignment="1">
      <alignment horizontal="right"/>
    </xf>
    <xf numFmtId="0" fontId="3" fillId="0" borderId="5" xfId="5" applyBorder="1"/>
    <xf numFmtId="0" fontId="3" fillId="0" borderId="7" xfId="5" applyBorder="1"/>
    <xf numFmtId="0" fontId="3" fillId="0" borderId="8" xfId="5" applyBorder="1" applyAlignment="1">
      <alignment horizontal="right"/>
    </xf>
    <xf numFmtId="0" fontId="3" fillId="0" borderId="1" xfId="5" applyBorder="1"/>
    <xf numFmtId="0" fontId="3" fillId="0" borderId="0" xfId="5" applyAlignment="1">
      <alignment vertical="center" wrapText="1"/>
    </xf>
    <xf numFmtId="0" fontId="4" fillId="0" borderId="0" xfId="5" applyFont="1" applyAlignment="1">
      <alignment horizontal="center" wrapText="1"/>
    </xf>
    <xf numFmtId="0" fontId="3" fillId="0" borderId="6" xfId="5" applyBorder="1" applyAlignment="1">
      <alignment horizontal="center"/>
    </xf>
    <xf numFmtId="0" fontId="3" fillId="0" borderId="2" xfId="5" applyBorder="1" applyAlignment="1">
      <alignment horizontal="center"/>
    </xf>
    <xf numFmtId="0" fontId="3" fillId="0" borderId="0" xfId="5"/>
    <xf numFmtId="0" fontId="4" fillId="0" borderId="0" xfId="5" applyFont="1" applyAlignment="1">
      <alignment horizontal="center" vertical="center" wrapText="1"/>
    </xf>
    <xf numFmtId="0" fontId="3" fillId="0" borderId="0" xfId="5" applyAlignment="1">
      <alignment vertical="center" wrapText="1"/>
    </xf>
    <xf numFmtId="0" fontId="4" fillId="0" borderId="0" xfId="5" applyFont="1" applyAlignment="1">
      <alignment vertical="center" wrapText="1"/>
    </xf>
    <xf numFmtId="177" fontId="3" fillId="0" borderId="0" xfId="6" applyNumberFormat="1" applyFont="1" applyAlignment="1">
      <alignment vertical="center" wrapText="1"/>
    </xf>
    <xf numFmtId="0" fontId="3" fillId="0" borderId="0" xfId="6" applyNumberFormat="1" applyFont="1" applyAlignment="1">
      <alignment vertical="center" wrapText="1"/>
    </xf>
    <xf numFmtId="177" fontId="3" fillId="0" borderId="0" xfId="6" applyNumberFormat="1" applyFont="1"/>
    <xf numFmtId="0" fontId="3" fillId="0" borderId="0" xfId="5"/>
    <xf numFmtId="0" fontId="3" fillId="0" borderId="0" xfId="5" applyAlignment="1">
      <alignment horizontal="right"/>
    </xf>
    <xf numFmtId="0" fontId="4" fillId="0" borderId="0" xfId="5" applyFont="1"/>
    <xf numFmtId="177" fontId="3" fillId="0" borderId="0" xfId="6" applyNumberFormat="1" applyFont="1"/>
    <xf numFmtId="0" fontId="3" fillId="0" borderId="0" xfId="5"/>
    <xf numFmtId="0" fontId="4" fillId="0" borderId="0" xfId="5" applyFont="1" applyAlignment="1">
      <alignment horizontal="center" vertical="center" wrapText="1"/>
    </xf>
    <xf numFmtId="0" fontId="3" fillId="0" borderId="0" xfId="5" applyAlignment="1">
      <alignment vertical="center" wrapText="1"/>
    </xf>
    <xf numFmtId="14" fontId="3" fillId="0" borderId="0" xfId="5" applyNumberFormat="1"/>
    <xf numFmtId="14" fontId="3" fillId="0" borderId="0" xfId="5" applyNumberFormat="1" applyAlignment="1">
      <alignment vertical="center" wrapText="1"/>
    </xf>
    <xf numFmtId="0" fontId="3" fillId="0" borderId="0" xfId="5" applyAlignment="1">
      <alignment horizontal="right"/>
    </xf>
    <xf numFmtId="0" fontId="3" fillId="0" borderId="0" xfId="5" applyAlignment="1">
      <alignment horizontal="left"/>
    </xf>
    <xf numFmtId="0" fontId="4" fillId="0" borderId="0" xfId="5" applyFont="1"/>
    <xf numFmtId="0" fontId="3" fillId="0" borderId="1" xfId="5" applyBorder="1"/>
    <xf numFmtId="0" fontId="3" fillId="0" borderId="8" xfId="5" applyBorder="1" applyAlignment="1">
      <alignment horizontal="right"/>
    </xf>
    <xf numFmtId="0" fontId="3" fillId="0" borderId="2" xfId="5" applyBorder="1"/>
    <xf numFmtId="0" fontId="3" fillId="0" borderId="3" xfId="5" applyBorder="1"/>
    <xf numFmtId="0" fontId="3" fillId="0" borderId="4" xfId="5" applyBorder="1"/>
    <xf numFmtId="0" fontId="3" fillId="0" borderId="5" xfId="5" applyBorder="1"/>
    <xf numFmtId="0" fontId="3" fillId="0" borderId="7" xfId="5" applyBorder="1" applyAlignment="1">
      <alignment horizontal="right"/>
    </xf>
    <xf numFmtId="14" fontId="3" fillId="0" borderId="6" xfId="5" applyNumberFormat="1" applyBorder="1"/>
    <xf numFmtId="0" fontId="3" fillId="0" borderId="0" xfId="5"/>
    <xf numFmtId="0" fontId="3" fillId="0" borderId="0" xfId="5" applyAlignment="1">
      <alignment vertical="center" wrapText="1"/>
    </xf>
    <xf numFmtId="0" fontId="3" fillId="0" borderId="0" xfId="5" applyAlignment="1">
      <alignment horizontal="right"/>
    </xf>
    <xf numFmtId="0" fontId="4" fillId="0" borderId="0" xfId="5" applyFont="1" applyAlignment="1">
      <alignment horizontal="center" wrapText="1"/>
    </xf>
    <xf numFmtId="177" fontId="3" fillId="0" borderId="0" xfId="5" applyNumberFormat="1" applyAlignment="1">
      <alignment vertical="center" wrapText="1"/>
    </xf>
    <xf numFmtId="0" fontId="3" fillId="0" borderId="2" xfId="5" applyBorder="1" applyAlignment="1">
      <alignment horizontal="center"/>
    </xf>
    <xf numFmtId="0" fontId="3" fillId="0" borderId="4" xfId="5" applyBorder="1" applyAlignment="1">
      <alignment horizontal="center"/>
    </xf>
    <xf numFmtId="0" fontId="3" fillId="0" borderId="1" xfId="5" applyBorder="1" applyAlignment="1">
      <alignment horizontal="right"/>
    </xf>
    <xf numFmtId="0" fontId="3" fillId="0" borderId="3" xfId="5" applyBorder="1" applyAlignment="1">
      <alignment horizontal="right"/>
    </xf>
    <xf numFmtId="0" fontId="3" fillId="0" borderId="5" xfId="5" applyBorder="1" applyAlignment="1">
      <alignment horizontal="right"/>
    </xf>
    <xf numFmtId="177" fontId="3" fillId="0" borderId="6" xfId="6" applyNumberFormat="1" applyFont="1" applyBorder="1" applyAlignment="1">
      <alignment horizontal="center"/>
    </xf>
  </cellXfs>
  <cellStyles count="7">
    <cellStyle name="Moneda" xfId="1" builtinId="4"/>
    <cellStyle name="Moneda 2" xfId="4" xr:uid="{48C9276A-21BD-4ECE-A137-30A4FE4AAA4A}"/>
    <cellStyle name="Moneda 3" xfId="6" xr:uid="{ADFD507C-7238-4FA9-B8CB-B558ECBEA380}"/>
    <cellStyle name="Normal" xfId="0" builtinId="0"/>
    <cellStyle name="Normal 2" xfId="3" xr:uid="{C4A86CCB-1110-4FC5-AB27-BD9D8CE1CEE5}"/>
    <cellStyle name="Normal 3" xfId="5" xr:uid="{5BFB935C-DB81-468C-B0DB-FCD58E6BC07B}"/>
    <cellStyle name="Porcentaje" xfId="2" builtinId="5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DC1F-847E-4563-8F79-C604EDE9939B}">
  <dimension ref="B2:M13"/>
  <sheetViews>
    <sheetView workbookViewId="0">
      <selection activeCell="L12" sqref="L12"/>
    </sheetView>
  </sheetViews>
  <sheetFormatPr baseColWidth="10" defaultRowHeight="15" x14ac:dyDescent="0.25"/>
  <cols>
    <col min="4" max="4" width="15.7109375" bestFit="1" customWidth="1"/>
    <col min="5" max="5" width="11.85546875" bestFit="1" customWidth="1"/>
    <col min="12" max="12" width="11.85546875" bestFit="1" customWidth="1"/>
  </cols>
  <sheetData>
    <row r="2" spans="2:13" x14ac:dyDescent="0.25">
      <c r="B2" s="1">
        <v>10</v>
      </c>
      <c r="D2" s="2" cm="1">
        <f t="array" aca="1" ref="D2:F4" ca="1">_xlfn.RANDARRAY(3,3,1,10,TRUE)</f>
        <v>8</v>
      </c>
      <c r="E2">
        <f ca="1"/>
        <v>3</v>
      </c>
      <c r="F2">
        <f ca="1"/>
        <v>3</v>
      </c>
      <c r="H2" s="2" cm="1">
        <f t="array" ref="H2:H8">_xlfn.SEQUENCE(7,,5,0.5)</f>
        <v>5</v>
      </c>
      <c r="J2">
        <v>1</v>
      </c>
      <c r="K2">
        <v>2</v>
      </c>
      <c r="L2">
        <v>3</v>
      </c>
      <c r="M2">
        <v>4</v>
      </c>
    </row>
    <row r="3" spans="2:13" x14ac:dyDescent="0.25">
      <c r="D3">
        <f ca="1"/>
        <v>3</v>
      </c>
      <c r="E3">
        <f ca="1"/>
        <v>2</v>
      </c>
      <c r="F3">
        <f ca="1"/>
        <v>4</v>
      </c>
      <c r="H3">
        <v>5.5</v>
      </c>
      <c r="J3" s="2">
        <f>SUM(J2:M2)</f>
        <v>10</v>
      </c>
    </row>
    <row r="4" spans="2:13" x14ac:dyDescent="0.25">
      <c r="B4" s="2" cm="1">
        <f t="array" ref="B4:B13">_xlfn.SEQUENCE(B2)</f>
        <v>1</v>
      </c>
      <c r="D4">
        <f ca="1"/>
        <v>4</v>
      </c>
      <c r="E4">
        <f ca="1"/>
        <v>8</v>
      </c>
      <c r="F4">
        <f ca="1"/>
        <v>1</v>
      </c>
      <c r="H4">
        <v>6</v>
      </c>
    </row>
    <row r="5" spans="2:13" x14ac:dyDescent="0.25">
      <c r="B5">
        <v>2</v>
      </c>
      <c r="H5">
        <v>6.5</v>
      </c>
      <c r="J5" t="s">
        <v>4</v>
      </c>
      <c r="K5" t="s">
        <v>5</v>
      </c>
      <c r="L5" s="2" t="b">
        <f>EXACT(J5,K5)</f>
        <v>0</v>
      </c>
      <c r="M5" s="2" t="str">
        <f>IF(J5=K5,1,"fdsfsd")</f>
        <v>fdsfsd</v>
      </c>
    </row>
    <row r="6" spans="2:13" x14ac:dyDescent="0.25">
      <c r="B6">
        <v>3</v>
      </c>
      <c r="D6" s="2" cm="1">
        <f t="array" ref="D6:F6">{4,2,7}</f>
        <v>4</v>
      </c>
      <c r="E6">
        <v>2</v>
      </c>
      <c r="F6">
        <v>7</v>
      </c>
      <c r="H6">
        <v>7</v>
      </c>
    </row>
    <row r="7" spans="2:13" x14ac:dyDescent="0.25">
      <c r="B7">
        <v>4</v>
      </c>
      <c r="H7">
        <v>7.5</v>
      </c>
      <c r="J7" t="s">
        <v>0</v>
      </c>
      <c r="L7" s="1" t="s">
        <v>2</v>
      </c>
      <c r="M7" s="2">
        <f>_xlfn.XMATCH(L7,J7:J10,0)</f>
        <v>3</v>
      </c>
    </row>
    <row r="8" spans="2:13" x14ac:dyDescent="0.25">
      <c r="B8">
        <v>5</v>
      </c>
      <c r="D8" s="2" cm="1">
        <f t="array" ref="D8:D10">{4;5;7}</f>
        <v>4</v>
      </c>
      <c r="H8">
        <v>8</v>
      </c>
      <c r="J8" t="s">
        <v>1</v>
      </c>
    </row>
    <row r="9" spans="2:13" x14ac:dyDescent="0.25">
      <c r="B9">
        <v>6</v>
      </c>
      <c r="D9">
        <v>5</v>
      </c>
      <c r="J9" t="s">
        <v>2</v>
      </c>
    </row>
    <row r="10" spans="2:13" x14ac:dyDescent="0.25">
      <c r="B10">
        <v>7</v>
      </c>
      <c r="D10">
        <v>7</v>
      </c>
      <c r="J10" t="s">
        <v>3</v>
      </c>
    </row>
    <row r="11" spans="2:13" x14ac:dyDescent="0.25">
      <c r="B11">
        <v>8</v>
      </c>
    </row>
    <row r="12" spans="2:13" x14ac:dyDescent="0.25">
      <c r="B12">
        <v>9</v>
      </c>
      <c r="D12" s="4">
        <f ca="1">TODAY()</f>
        <v>46074</v>
      </c>
      <c r="F12" s="2">
        <f>PI()</f>
        <v>3.1415926535897931</v>
      </c>
      <c r="J12" t="s">
        <v>6</v>
      </c>
      <c r="L12" t="e">
        <f>LOOKUP("I",J12,)</f>
        <v>#VALUE!</v>
      </c>
    </row>
    <row r="13" spans="2:13" x14ac:dyDescent="0.25">
      <c r="B13">
        <v>10</v>
      </c>
      <c r="D13" s="5">
        <f ca="1">NOW()</f>
        <v>46074.767806018521</v>
      </c>
      <c r="F13" s="2">
        <f ca="1">RAND()</f>
        <v>0.7618750834350535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487F-2403-42DA-94D9-1E94CEC3124F}">
  <dimension ref="B2:H5"/>
  <sheetViews>
    <sheetView workbookViewId="0">
      <selection activeCell="G3" sqref="G3:H3"/>
    </sheetView>
  </sheetViews>
  <sheetFormatPr baseColWidth="10" defaultRowHeight="15" x14ac:dyDescent="0.25"/>
  <sheetData>
    <row r="2" spans="2:8" x14ac:dyDescent="0.25">
      <c r="B2" t="s">
        <v>7</v>
      </c>
      <c r="D2" s="7">
        <v>8.32</v>
      </c>
      <c r="G2" t="s">
        <v>8</v>
      </c>
      <c r="H2" t="s">
        <v>9</v>
      </c>
    </row>
    <row r="3" spans="2:8" x14ac:dyDescent="0.25">
      <c r="B3">
        <v>7</v>
      </c>
      <c r="D3" s="3">
        <v>20184</v>
      </c>
      <c r="G3" s="2">
        <f>COUNT(B2:D5)</f>
        <v>6</v>
      </c>
      <c r="H3" s="2">
        <f>COUNTA(B:B,D:D)</f>
        <v>8</v>
      </c>
    </row>
    <row r="4" spans="2:8" x14ac:dyDescent="0.25">
      <c r="B4" s="3">
        <v>45925</v>
      </c>
      <c r="D4">
        <v>2</v>
      </c>
    </row>
    <row r="5" spans="2:8" x14ac:dyDescent="0.25">
      <c r="B5" s="6">
        <v>23.87</v>
      </c>
      <c r="D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58B4-10DF-4DA2-B060-4FF79DAC3DE4}">
  <dimension ref="A1:M46"/>
  <sheetViews>
    <sheetView workbookViewId="0">
      <selection activeCell="C37" sqref="C37"/>
    </sheetView>
  </sheetViews>
  <sheetFormatPr baseColWidth="10" defaultRowHeight="15" x14ac:dyDescent="0.25"/>
  <sheetData>
    <row r="1" spans="1:13" x14ac:dyDescent="0.25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I1" s="9"/>
      <c r="J1" s="9"/>
      <c r="K1" s="9"/>
      <c r="L1" s="9"/>
      <c r="M1" s="9"/>
    </row>
    <row r="2" spans="1:13" x14ac:dyDescent="0.25">
      <c r="A2" s="9" t="s">
        <v>18</v>
      </c>
      <c r="B2" s="9">
        <v>706812786</v>
      </c>
      <c r="C2" s="9">
        <v>8</v>
      </c>
      <c r="D2" s="9">
        <v>8</v>
      </c>
      <c r="E2" s="9">
        <v>7</v>
      </c>
      <c r="F2" s="9">
        <v>10</v>
      </c>
      <c r="G2" s="9">
        <v>9</v>
      </c>
    </row>
    <row r="3" spans="1:13" x14ac:dyDescent="0.25">
      <c r="A3" s="9" t="s">
        <v>19</v>
      </c>
      <c r="B3" s="9">
        <v>405541455</v>
      </c>
      <c r="C3" s="9">
        <v>4</v>
      </c>
      <c r="D3" s="9">
        <v>8</v>
      </c>
      <c r="E3" s="9">
        <v>8</v>
      </c>
      <c r="F3" s="9">
        <v>8</v>
      </c>
      <c r="G3" s="9">
        <v>10</v>
      </c>
    </row>
    <row r="4" spans="1:13" x14ac:dyDescent="0.25">
      <c r="A4" s="9" t="s">
        <v>20</v>
      </c>
      <c r="B4" s="9">
        <v>576678083</v>
      </c>
      <c r="C4" s="9">
        <v>10</v>
      </c>
      <c r="D4" s="9"/>
      <c r="E4" s="9">
        <v>5</v>
      </c>
      <c r="F4" s="9">
        <v>6</v>
      </c>
      <c r="G4" s="9">
        <v>4</v>
      </c>
    </row>
    <row r="5" spans="1:13" x14ac:dyDescent="0.25">
      <c r="A5" s="9" t="s">
        <v>21</v>
      </c>
      <c r="B5" s="9">
        <v>804646143</v>
      </c>
      <c r="C5" s="9">
        <v>4</v>
      </c>
      <c r="D5" s="9">
        <v>3</v>
      </c>
      <c r="E5" s="9">
        <v>8</v>
      </c>
      <c r="F5" s="9">
        <v>7</v>
      </c>
      <c r="G5" s="9">
        <v>10</v>
      </c>
    </row>
    <row r="6" spans="1:13" x14ac:dyDescent="0.25">
      <c r="A6" s="9" t="s">
        <v>22</v>
      </c>
      <c r="B6" s="9">
        <v>280386085</v>
      </c>
      <c r="C6" s="9">
        <v>10</v>
      </c>
      <c r="D6" s="9">
        <v>5</v>
      </c>
      <c r="E6" s="9"/>
      <c r="F6" s="9">
        <v>8</v>
      </c>
      <c r="G6" s="9"/>
    </row>
    <row r="7" spans="1:13" x14ac:dyDescent="0.25">
      <c r="A7" s="9" t="s">
        <v>23</v>
      </c>
      <c r="B7" s="9">
        <v>349698966</v>
      </c>
      <c r="C7" s="9">
        <v>10</v>
      </c>
      <c r="D7" s="9">
        <v>4</v>
      </c>
      <c r="E7" s="9">
        <v>5</v>
      </c>
      <c r="F7" s="9">
        <v>6</v>
      </c>
      <c r="G7" s="9">
        <v>5</v>
      </c>
    </row>
    <row r="8" spans="1:13" x14ac:dyDescent="0.25">
      <c r="A8" s="9" t="s">
        <v>24</v>
      </c>
      <c r="B8" s="9">
        <v>457123337</v>
      </c>
      <c r="C8" s="9">
        <v>6</v>
      </c>
      <c r="D8" s="9">
        <v>7</v>
      </c>
      <c r="E8" s="9">
        <v>10</v>
      </c>
      <c r="F8" s="9">
        <v>9</v>
      </c>
      <c r="G8" s="9">
        <v>7</v>
      </c>
    </row>
    <row r="9" spans="1:13" x14ac:dyDescent="0.25">
      <c r="A9" s="9" t="s">
        <v>25</v>
      </c>
      <c r="B9" s="9">
        <v>711893383</v>
      </c>
      <c r="C9" s="9">
        <v>3</v>
      </c>
      <c r="D9" s="9">
        <v>8</v>
      </c>
      <c r="E9" s="9"/>
      <c r="F9" s="9">
        <v>10</v>
      </c>
      <c r="G9" s="9">
        <v>5</v>
      </c>
    </row>
    <row r="10" spans="1:13" x14ac:dyDescent="0.25">
      <c r="A10" s="9" t="s">
        <v>26</v>
      </c>
      <c r="B10" s="9">
        <v>474819456</v>
      </c>
      <c r="C10" s="9">
        <v>10</v>
      </c>
      <c r="D10" s="9">
        <v>10</v>
      </c>
      <c r="E10" s="9">
        <v>10</v>
      </c>
      <c r="F10" s="9">
        <v>7</v>
      </c>
      <c r="G10" s="9">
        <v>3</v>
      </c>
    </row>
    <row r="11" spans="1:13" x14ac:dyDescent="0.25">
      <c r="A11" s="9" t="s">
        <v>27</v>
      </c>
      <c r="B11" s="9">
        <v>485187070</v>
      </c>
      <c r="C11" s="9">
        <v>3</v>
      </c>
      <c r="D11" s="9">
        <v>5</v>
      </c>
      <c r="E11" s="9">
        <v>4</v>
      </c>
      <c r="F11" s="9"/>
      <c r="G11" s="9">
        <v>3</v>
      </c>
    </row>
    <row r="13" spans="1:13" x14ac:dyDescent="0.25">
      <c r="C13" s="9"/>
      <c r="D13" s="9"/>
      <c r="E13" s="9"/>
      <c r="F13" s="9"/>
      <c r="G13" s="9" t="s">
        <v>28</v>
      </c>
    </row>
    <row r="14" spans="1:13" x14ac:dyDescent="0.25">
      <c r="C14" s="9"/>
      <c r="D14" s="10" t="s">
        <v>29</v>
      </c>
      <c r="E14" s="11">
        <f>COUNTA(A:A)-1</f>
        <v>10</v>
      </c>
      <c r="F14" s="9"/>
      <c r="G14" s="11">
        <f>COLUMNS(C:G)</f>
        <v>5</v>
      </c>
      <c r="H14" s="2">
        <f>ROWS(2:11)</f>
        <v>10</v>
      </c>
    </row>
    <row r="15" spans="1:13" x14ac:dyDescent="0.25">
      <c r="C15" s="9"/>
      <c r="D15" s="10" t="s">
        <v>30</v>
      </c>
      <c r="E15" s="11">
        <f>COUNTA(1:1)-2</f>
        <v>5</v>
      </c>
      <c r="F15" s="9"/>
      <c r="G15" s="9"/>
    </row>
    <row r="16" spans="1:13" x14ac:dyDescent="0.25">
      <c r="C16" s="9"/>
      <c r="D16" s="10" t="s">
        <v>31</v>
      </c>
      <c r="E16" s="11">
        <f>COUNTBLANK(C2:G11)</f>
        <v>5</v>
      </c>
      <c r="F16" s="9"/>
      <c r="G16" s="9"/>
    </row>
    <row r="17" spans="2:8" x14ac:dyDescent="0.25">
      <c r="C17" s="9"/>
      <c r="D17" s="9"/>
      <c r="E17" s="9"/>
      <c r="F17" s="9"/>
      <c r="G17" s="9"/>
    </row>
    <row r="18" spans="2:8" x14ac:dyDescent="0.25">
      <c r="C18" s="9" t="s">
        <v>32</v>
      </c>
      <c r="D18" s="9"/>
      <c r="E18" s="9"/>
      <c r="F18" s="9"/>
      <c r="G18" s="9"/>
    </row>
    <row r="19" spans="2:8" x14ac:dyDescent="0.25">
      <c r="C19" s="9"/>
      <c r="D19" s="8" t="s">
        <v>33</v>
      </c>
      <c r="E19" s="11">
        <f>ROW(E7)</f>
        <v>7</v>
      </c>
      <c r="F19" s="9"/>
      <c r="G19" s="9"/>
    </row>
    <row r="20" spans="2:8" x14ac:dyDescent="0.25">
      <c r="C20" s="9"/>
      <c r="D20" s="8" t="s">
        <v>34</v>
      </c>
      <c r="E20" s="11">
        <f>COLUMN(E7)</f>
        <v>5</v>
      </c>
      <c r="F20" s="9"/>
      <c r="G20" s="9"/>
    </row>
    <row r="21" spans="2:8" x14ac:dyDescent="0.25">
      <c r="C21" s="9"/>
      <c r="D21" s="9"/>
      <c r="E21" s="9"/>
      <c r="F21" s="9"/>
      <c r="G21" s="9"/>
    </row>
    <row r="22" spans="2:8" x14ac:dyDescent="0.25">
      <c r="B22" t="s">
        <v>35</v>
      </c>
    </row>
    <row r="23" spans="2:8" x14ac:dyDescent="0.25">
      <c r="D23" s="2" t="str">
        <f>CHAR(COLUMN()-3+64)</f>
        <v>A</v>
      </c>
      <c r="E23" t="str">
        <f t="shared" ref="E23:H23" si="0">CHAR(COLUMN()-3+64)</f>
        <v>B</v>
      </c>
      <c r="F23" t="str">
        <f t="shared" si="0"/>
        <v>C</v>
      </c>
      <c r="G23" t="str">
        <f t="shared" si="0"/>
        <v>D</v>
      </c>
      <c r="H23" t="str">
        <f t="shared" si="0"/>
        <v>E</v>
      </c>
    </row>
    <row r="24" spans="2:8" x14ac:dyDescent="0.25">
      <c r="D24" s="2">
        <f>COLUMN()-3</f>
        <v>1</v>
      </c>
      <c r="E24">
        <f t="shared" ref="E24:H24" si="1">COLUMN()-3</f>
        <v>2</v>
      </c>
      <c r="F24">
        <f t="shared" si="1"/>
        <v>3</v>
      </c>
      <c r="G24">
        <f t="shared" si="1"/>
        <v>4</v>
      </c>
      <c r="H24">
        <f t="shared" si="1"/>
        <v>5</v>
      </c>
    </row>
    <row r="25" spans="2:8" x14ac:dyDescent="0.25">
      <c r="B25" s="2">
        <f>ROW()</f>
        <v>25</v>
      </c>
      <c r="C25" s="2">
        <f>ROW()-24</f>
        <v>1</v>
      </c>
    </row>
    <row r="26" spans="2:8" x14ac:dyDescent="0.25">
      <c r="C26">
        <f t="shared" ref="C26:C34" si="2">ROW()-24</f>
        <v>2</v>
      </c>
    </row>
    <row r="27" spans="2:8" x14ac:dyDescent="0.25">
      <c r="C27">
        <f t="shared" si="2"/>
        <v>3</v>
      </c>
    </row>
    <row r="28" spans="2:8" x14ac:dyDescent="0.25">
      <c r="C28">
        <f t="shared" si="2"/>
        <v>4</v>
      </c>
    </row>
    <row r="29" spans="2:8" x14ac:dyDescent="0.25">
      <c r="C29">
        <f t="shared" si="2"/>
        <v>5</v>
      </c>
    </row>
    <row r="30" spans="2:8" x14ac:dyDescent="0.25">
      <c r="C30">
        <f t="shared" si="2"/>
        <v>6</v>
      </c>
    </row>
    <row r="31" spans="2:8" x14ac:dyDescent="0.25">
      <c r="C31">
        <f t="shared" si="2"/>
        <v>7</v>
      </c>
    </row>
    <row r="32" spans="2:8" x14ac:dyDescent="0.25">
      <c r="C32">
        <f t="shared" si="2"/>
        <v>8</v>
      </c>
    </row>
    <row r="33" spans="3:8" x14ac:dyDescent="0.25">
      <c r="C33">
        <f t="shared" si="2"/>
        <v>9</v>
      </c>
    </row>
    <row r="34" spans="3:8" x14ac:dyDescent="0.25">
      <c r="C34">
        <f t="shared" si="2"/>
        <v>10</v>
      </c>
    </row>
    <row r="36" spans="3:8" x14ac:dyDescent="0.25">
      <c r="D36" s="2" cm="1">
        <f t="array" ref="D36:H36">COLUMN(A:E)</f>
        <v>1</v>
      </c>
      <c r="E36">
        <v>2</v>
      </c>
      <c r="F36">
        <v>3</v>
      </c>
      <c r="G36">
        <v>4</v>
      </c>
      <c r="H36">
        <v>5</v>
      </c>
    </row>
    <row r="37" spans="3:8" x14ac:dyDescent="0.25">
      <c r="C37" s="2" cm="1">
        <f t="array" ref="C37:C46">ROW(1:10)</f>
        <v>1</v>
      </c>
    </row>
    <row r="38" spans="3:8" x14ac:dyDescent="0.25">
      <c r="C38">
        <v>2</v>
      </c>
    </row>
    <row r="39" spans="3:8" x14ac:dyDescent="0.25">
      <c r="C39">
        <v>3</v>
      </c>
    </row>
    <row r="40" spans="3:8" x14ac:dyDescent="0.25">
      <c r="C40">
        <v>4</v>
      </c>
    </row>
    <row r="41" spans="3:8" x14ac:dyDescent="0.25">
      <c r="C41">
        <v>5</v>
      </c>
    </row>
    <row r="42" spans="3:8" x14ac:dyDescent="0.25">
      <c r="C42">
        <v>6</v>
      </c>
    </row>
    <row r="43" spans="3:8" x14ac:dyDescent="0.25">
      <c r="C43">
        <v>7</v>
      </c>
    </row>
    <row r="44" spans="3:8" x14ac:dyDescent="0.25">
      <c r="C44">
        <v>8</v>
      </c>
    </row>
    <row r="45" spans="3:8" x14ac:dyDescent="0.25">
      <c r="C45">
        <v>9</v>
      </c>
    </row>
    <row r="46" spans="3:8" x14ac:dyDescent="0.25">
      <c r="C46">
        <v>10</v>
      </c>
    </row>
  </sheetData>
  <conditionalFormatting sqref="C2:G11">
    <cfRule type="containsBlanks" dxfId="0" priority="1">
      <formula>LEN(TRIM(C2))=0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6680-3C88-4AD8-BC93-158F4BDB852C}">
  <dimension ref="A1:J47"/>
  <sheetViews>
    <sheetView topLeftCell="A22" workbookViewId="0">
      <selection activeCell="N3" sqref="N3"/>
    </sheetView>
  </sheetViews>
  <sheetFormatPr baseColWidth="10" defaultRowHeight="15" x14ac:dyDescent="0.25"/>
  <sheetData>
    <row r="1" spans="1:10" ht="30" x14ac:dyDescent="0.25">
      <c r="A1" s="13" t="s">
        <v>11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36</v>
      </c>
      <c r="I1" s="12"/>
      <c r="J1" s="17" t="s">
        <v>37</v>
      </c>
    </row>
    <row r="2" spans="1:10" x14ac:dyDescent="0.25">
      <c r="A2" s="14" t="s">
        <v>18</v>
      </c>
      <c r="B2" s="14">
        <v>706812786</v>
      </c>
      <c r="C2" s="14">
        <v>8</v>
      </c>
      <c r="D2" s="14">
        <v>8</v>
      </c>
      <c r="E2" s="14">
        <v>7</v>
      </c>
      <c r="F2" s="14">
        <v>10</v>
      </c>
      <c r="G2" s="14">
        <v>9</v>
      </c>
      <c r="H2" s="12">
        <f>AVERAGE(C2:G2)</f>
        <v>8.4</v>
      </c>
      <c r="I2" s="12"/>
      <c r="J2" s="12">
        <f>SUM(C2:G2)/COLUMNS(C2:G2)</f>
        <v>8.4</v>
      </c>
    </row>
    <row r="3" spans="1:10" x14ac:dyDescent="0.25">
      <c r="A3" s="14" t="s">
        <v>19</v>
      </c>
      <c r="B3" s="14">
        <v>405541455</v>
      </c>
      <c r="C3" s="14">
        <v>4</v>
      </c>
      <c r="D3" s="14">
        <v>8</v>
      </c>
      <c r="E3" s="14">
        <v>8</v>
      </c>
      <c r="F3" s="14">
        <v>8</v>
      </c>
      <c r="G3" s="14">
        <v>10</v>
      </c>
      <c r="H3" s="19">
        <f t="shared" ref="H3:H11" si="0">AVERAGE(C3:G3)</f>
        <v>7.6</v>
      </c>
      <c r="I3" s="12"/>
      <c r="J3" s="19">
        <f t="shared" ref="J3:J11" si="1">SUM(C3:G3)/COLUMNS(C3:G3)</f>
        <v>7.6</v>
      </c>
    </row>
    <row r="4" spans="1:10" x14ac:dyDescent="0.25">
      <c r="A4" s="14" t="s">
        <v>20</v>
      </c>
      <c r="B4" s="14">
        <v>576678083</v>
      </c>
      <c r="C4" s="14">
        <v>10</v>
      </c>
      <c r="D4" s="12"/>
      <c r="E4" s="14">
        <v>5</v>
      </c>
      <c r="F4" s="14">
        <v>6</v>
      </c>
      <c r="G4" s="14">
        <v>4</v>
      </c>
      <c r="H4" s="19">
        <f t="shared" si="0"/>
        <v>6.25</v>
      </c>
      <c r="I4" s="12"/>
      <c r="J4" s="19">
        <f t="shared" si="1"/>
        <v>5</v>
      </c>
    </row>
    <row r="5" spans="1:10" x14ac:dyDescent="0.25">
      <c r="A5" s="14" t="s">
        <v>21</v>
      </c>
      <c r="B5" s="14">
        <v>804646143</v>
      </c>
      <c r="C5" s="14">
        <v>4</v>
      </c>
      <c r="D5" s="14">
        <v>3</v>
      </c>
      <c r="E5" s="14">
        <v>8</v>
      </c>
      <c r="F5" s="14">
        <v>7</v>
      </c>
      <c r="G5" s="14">
        <v>10</v>
      </c>
      <c r="H5" s="19">
        <f t="shared" si="0"/>
        <v>6.4</v>
      </c>
      <c r="I5" s="12"/>
      <c r="J5" s="19">
        <f t="shared" si="1"/>
        <v>6.4</v>
      </c>
    </row>
    <row r="6" spans="1:10" x14ac:dyDescent="0.25">
      <c r="A6" s="14" t="s">
        <v>22</v>
      </c>
      <c r="B6" s="14">
        <v>280386085</v>
      </c>
      <c r="C6" s="14">
        <v>10</v>
      </c>
      <c r="D6" s="14">
        <v>5</v>
      </c>
      <c r="E6" s="12"/>
      <c r="F6" s="14">
        <v>8</v>
      </c>
      <c r="G6" s="12"/>
      <c r="H6" s="19">
        <f t="shared" si="0"/>
        <v>7.666666666666667</v>
      </c>
      <c r="I6" s="12"/>
      <c r="J6" s="19">
        <f t="shared" si="1"/>
        <v>4.5999999999999996</v>
      </c>
    </row>
    <row r="7" spans="1:10" x14ac:dyDescent="0.25">
      <c r="A7" s="14" t="s">
        <v>23</v>
      </c>
      <c r="B7" s="14">
        <v>349698966</v>
      </c>
      <c r="C7" s="14">
        <v>10</v>
      </c>
      <c r="D7" s="14">
        <v>4</v>
      </c>
      <c r="E7" s="14">
        <v>5</v>
      </c>
      <c r="F7" s="14">
        <v>6</v>
      </c>
      <c r="G7" s="14">
        <v>5</v>
      </c>
      <c r="H7" s="19">
        <f t="shared" si="0"/>
        <v>6</v>
      </c>
      <c r="I7" s="12"/>
      <c r="J7" s="19">
        <f t="shared" si="1"/>
        <v>6</v>
      </c>
    </row>
    <row r="8" spans="1:10" x14ac:dyDescent="0.25">
      <c r="A8" s="14" t="s">
        <v>24</v>
      </c>
      <c r="B8" s="14">
        <v>457123337</v>
      </c>
      <c r="C8" s="14">
        <v>6</v>
      </c>
      <c r="D8" s="14">
        <v>7</v>
      </c>
      <c r="E8" s="14">
        <v>10</v>
      </c>
      <c r="F8" s="14">
        <v>9</v>
      </c>
      <c r="G8" s="14">
        <v>7</v>
      </c>
      <c r="H8" s="19">
        <f t="shared" si="0"/>
        <v>7.8</v>
      </c>
      <c r="I8" s="12"/>
      <c r="J8" s="19">
        <f t="shared" si="1"/>
        <v>7.8</v>
      </c>
    </row>
    <row r="9" spans="1:10" x14ac:dyDescent="0.25">
      <c r="A9" s="14" t="s">
        <v>25</v>
      </c>
      <c r="B9" s="14">
        <v>711893383</v>
      </c>
      <c r="C9" s="14">
        <v>3</v>
      </c>
      <c r="D9" s="14">
        <v>8</v>
      </c>
      <c r="E9" s="12"/>
      <c r="F9" s="14">
        <v>10</v>
      </c>
      <c r="G9" s="14">
        <v>5</v>
      </c>
      <c r="H9" s="19">
        <f t="shared" si="0"/>
        <v>6.5</v>
      </c>
      <c r="I9" s="12"/>
      <c r="J9" s="19">
        <f t="shared" si="1"/>
        <v>5.2</v>
      </c>
    </row>
    <row r="10" spans="1:10" x14ac:dyDescent="0.25">
      <c r="A10" s="14" t="s">
        <v>26</v>
      </c>
      <c r="B10" s="14">
        <v>474819456</v>
      </c>
      <c r="C10" s="14">
        <v>10</v>
      </c>
      <c r="D10" s="14">
        <v>10</v>
      </c>
      <c r="E10" s="14">
        <v>10</v>
      </c>
      <c r="F10" s="14">
        <v>7</v>
      </c>
      <c r="G10" s="14">
        <v>3</v>
      </c>
      <c r="H10" s="19">
        <f t="shared" si="0"/>
        <v>8</v>
      </c>
      <c r="I10" s="12"/>
      <c r="J10" s="19">
        <f t="shared" si="1"/>
        <v>8</v>
      </c>
    </row>
    <row r="11" spans="1:10" x14ac:dyDescent="0.25">
      <c r="A11" s="14" t="s">
        <v>27</v>
      </c>
      <c r="B11" s="14">
        <v>485187070</v>
      </c>
      <c r="C11" s="14">
        <v>3</v>
      </c>
      <c r="D11" s="14">
        <v>5</v>
      </c>
      <c r="E11" s="14">
        <v>4</v>
      </c>
      <c r="F11" s="12"/>
      <c r="G11" s="14">
        <v>3</v>
      </c>
      <c r="H11" s="19">
        <f t="shared" si="0"/>
        <v>3.75</v>
      </c>
      <c r="I11" s="12"/>
      <c r="J11" s="19">
        <f t="shared" si="1"/>
        <v>3</v>
      </c>
    </row>
    <row r="12" spans="1:10" x14ac:dyDescent="0.25">
      <c r="B12" s="20" t="s">
        <v>36</v>
      </c>
      <c r="C12" s="21">
        <f t="shared" ref="C12:G12" si="2">AVERAGE(C2:C11)</f>
        <v>6.8</v>
      </c>
      <c r="D12" s="21">
        <f t="shared" si="2"/>
        <v>6.4444444444444446</v>
      </c>
      <c r="E12" s="21">
        <f t="shared" si="2"/>
        <v>7.125</v>
      </c>
      <c r="F12" s="21">
        <f>AVERAGE(F2:F11)</f>
        <v>7.8888888888888893</v>
      </c>
      <c r="G12" s="21">
        <f t="shared" si="2"/>
        <v>6.2222222222222223</v>
      </c>
    </row>
    <row r="14" spans="1:10" x14ac:dyDescent="0.25">
      <c r="A14" s="12"/>
      <c r="B14" s="12"/>
      <c r="C14" s="15" t="s">
        <v>38</v>
      </c>
      <c r="D14" s="12"/>
      <c r="E14" s="12"/>
      <c r="F14" s="12"/>
      <c r="G14" s="12"/>
      <c r="H14" s="12"/>
      <c r="I14" s="12"/>
      <c r="J14" s="12"/>
    </row>
    <row r="15" spans="1:10" x14ac:dyDescent="0.25">
      <c r="A15" s="12"/>
      <c r="B15" s="12"/>
      <c r="C15" s="16" t="s">
        <v>39</v>
      </c>
      <c r="D15" s="12">
        <f>AVERAGE(E2:E11)</f>
        <v>7.125</v>
      </c>
      <c r="E15" s="12"/>
      <c r="F15" s="12"/>
      <c r="G15" s="12"/>
      <c r="H15" s="12"/>
      <c r="I15" s="12"/>
      <c r="J15" s="12"/>
    </row>
    <row r="16" spans="1:10" x14ac:dyDescent="0.25">
      <c r="A16" s="12"/>
      <c r="B16" s="12"/>
      <c r="C16" s="16" t="s">
        <v>40</v>
      </c>
      <c r="D16" s="12">
        <f>MAX(E2:E11)</f>
        <v>10</v>
      </c>
      <c r="E16" s="12"/>
      <c r="F16" s="12"/>
      <c r="G16" s="12"/>
      <c r="H16" s="12"/>
      <c r="I16" s="12"/>
      <c r="J16" s="12"/>
    </row>
    <row r="17" spans="1:6" x14ac:dyDescent="0.25">
      <c r="C17" s="16" t="s">
        <v>41</v>
      </c>
      <c r="D17">
        <f>MIN(E2:E11)</f>
        <v>4</v>
      </c>
    </row>
    <row r="23" spans="1:6" x14ac:dyDescent="0.25">
      <c r="A23" s="21" t="s">
        <v>42</v>
      </c>
      <c r="B23" s="21" t="s">
        <v>43</v>
      </c>
      <c r="C23" s="21" t="s">
        <v>44</v>
      </c>
      <c r="D23" s="21" t="s">
        <v>45</v>
      </c>
      <c r="E23" s="21" t="s">
        <v>46</v>
      </c>
      <c r="F23" s="21" t="s">
        <v>64</v>
      </c>
    </row>
    <row r="24" spans="1:6" x14ac:dyDescent="0.25">
      <c r="A24" s="19" t="s">
        <v>47</v>
      </c>
      <c r="B24" s="19" t="s">
        <v>48</v>
      </c>
      <c r="C24" s="19" t="s">
        <v>49</v>
      </c>
      <c r="D24" s="19">
        <v>7</v>
      </c>
      <c r="E24" s="22">
        <v>5</v>
      </c>
      <c r="F24" s="22">
        <f>D24*E24</f>
        <v>35</v>
      </c>
    </row>
    <row r="25" spans="1:6" x14ac:dyDescent="0.25">
      <c r="A25" s="19" t="s">
        <v>50</v>
      </c>
      <c r="B25" s="19" t="s">
        <v>51</v>
      </c>
      <c r="C25" s="19" t="s">
        <v>52</v>
      </c>
      <c r="D25" s="19">
        <v>2</v>
      </c>
      <c r="E25" s="22">
        <v>3.5</v>
      </c>
      <c r="F25" s="22">
        <f t="shared" ref="F25:F35" si="3">D25*E25</f>
        <v>7</v>
      </c>
    </row>
    <row r="26" spans="1:6" x14ac:dyDescent="0.25">
      <c r="A26" s="19" t="s">
        <v>53</v>
      </c>
      <c r="B26" s="19" t="s">
        <v>54</v>
      </c>
      <c r="C26" s="19" t="s">
        <v>49</v>
      </c>
      <c r="D26" s="19">
        <v>3</v>
      </c>
      <c r="E26" s="22">
        <v>5</v>
      </c>
      <c r="F26" s="22">
        <f t="shared" si="3"/>
        <v>15</v>
      </c>
    </row>
    <row r="27" spans="1:6" x14ac:dyDescent="0.25">
      <c r="A27" s="19" t="s">
        <v>55</v>
      </c>
      <c r="B27" s="19" t="s">
        <v>56</v>
      </c>
      <c r="C27" s="19" t="s">
        <v>57</v>
      </c>
      <c r="D27" s="19">
        <v>4</v>
      </c>
      <c r="E27" s="22">
        <v>4</v>
      </c>
      <c r="F27" s="22">
        <f t="shared" si="3"/>
        <v>16</v>
      </c>
    </row>
    <row r="28" spans="1:6" x14ac:dyDescent="0.25">
      <c r="A28" s="19" t="s">
        <v>58</v>
      </c>
      <c r="B28" s="19" t="s">
        <v>51</v>
      </c>
      <c r="C28" s="19" t="s">
        <v>52</v>
      </c>
      <c r="D28" s="19">
        <v>11</v>
      </c>
      <c r="E28" s="22">
        <v>3.5</v>
      </c>
      <c r="F28" s="22">
        <f t="shared" si="3"/>
        <v>38.5</v>
      </c>
    </row>
    <row r="29" spans="1:6" x14ac:dyDescent="0.25">
      <c r="A29" s="19" t="s">
        <v>47</v>
      </c>
      <c r="B29" s="19" t="s">
        <v>56</v>
      </c>
      <c r="C29" s="19" t="s">
        <v>57</v>
      </c>
      <c r="D29" s="19">
        <v>5</v>
      </c>
      <c r="E29" s="22">
        <v>4</v>
      </c>
      <c r="F29" s="22">
        <f t="shared" si="3"/>
        <v>20</v>
      </c>
    </row>
    <row r="30" spans="1:6" x14ac:dyDescent="0.25">
      <c r="A30" s="19" t="s">
        <v>53</v>
      </c>
      <c r="B30" s="19" t="s">
        <v>59</v>
      </c>
      <c r="C30" s="19" t="s">
        <v>49</v>
      </c>
      <c r="D30" s="19">
        <v>4</v>
      </c>
      <c r="E30" s="22">
        <v>5</v>
      </c>
      <c r="F30" s="22">
        <f t="shared" si="3"/>
        <v>20</v>
      </c>
    </row>
    <row r="31" spans="1:6" x14ac:dyDescent="0.25">
      <c r="A31" s="19" t="s">
        <v>50</v>
      </c>
      <c r="B31" s="19" t="s">
        <v>56</v>
      </c>
      <c r="C31" s="19" t="s">
        <v>52</v>
      </c>
      <c r="D31" s="19">
        <v>1</v>
      </c>
      <c r="E31" s="22">
        <v>3.5</v>
      </c>
      <c r="F31" s="22">
        <f t="shared" si="3"/>
        <v>3.5</v>
      </c>
    </row>
    <row r="32" spans="1:6" x14ac:dyDescent="0.25">
      <c r="A32" s="19" t="s">
        <v>50</v>
      </c>
      <c r="B32" s="19" t="s">
        <v>56</v>
      </c>
      <c r="C32" s="19" t="s">
        <v>49</v>
      </c>
      <c r="D32" s="19">
        <v>1</v>
      </c>
      <c r="E32" s="22">
        <v>5</v>
      </c>
      <c r="F32" s="22">
        <f t="shared" si="3"/>
        <v>5</v>
      </c>
    </row>
    <row r="33" spans="1:6" x14ac:dyDescent="0.25">
      <c r="A33" s="19" t="s">
        <v>47</v>
      </c>
      <c r="B33" s="19" t="s">
        <v>48</v>
      </c>
      <c r="C33" s="19" t="s">
        <v>52</v>
      </c>
      <c r="D33" s="19">
        <v>2</v>
      </c>
      <c r="E33" s="22">
        <v>3.5</v>
      </c>
      <c r="F33" s="22">
        <f t="shared" si="3"/>
        <v>7</v>
      </c>
    </row>
    <row r="34" spans="1:6" x14ac:dyDescent="0.25">
      <c r="A34" s="19" t="s">
        <v>53</v>
      </c>
      <c r="B34" s="19" t="s">
        <v>54</v>
      </c>
      <c r="C34" s="19" t="s">
        <v>49</v>
      </c>
      <c r="D34" s="19">
        <v>6</v>
      </c>
      <c r="E34" s="22">
        <v>5</v>
      </c>
      <c r="F34" s="22">
        <f t="shared" si="3"/>
        <v>30</v>
      </c>
    </row>
    <row r="35" spans="1:6" x14ac:dyDescent="0.25">
      <c r="A35" s="19"/>
      <c r="B35" s="19"/>
      <c r="C35" s="19"/>
      <c r="D35" s="19"/>
      <c r="E35" s="21" t="s">
        <v>60</v>
      </c>
      <c r="F35" s="22">
        <f>SUM(sales)</f>
        <v>197</v>
      </c>
    </row>
    <row r="37" spans="1:6" x14ac:dyDescent="0.25">
      <c r="A37" s="19"/>
      <c r="B37" s="19"/>
      <c r="C37" s="23"/>
      <c r="D37" s="19"/>
      <c r="E37" s="19"/>
    </row>
    <row r="38" spans="1:6" x14ac:dyDescent="0.25">
      <c r="A38" s="19"/>
      <c r="B38" s="19"/>
      <c r="C38" s="24" t="s">
        <v>61</v>
      </c>
      <c r="D38" s="25" t="s">
        <v>62</v>
      </c>
      <c r="E38" s="19"/>
    </row>
    <row r="39" spans="1:6" x14ac:dyDescent="0.25">
      <c r="B39" s="19">
        <v>1</v>
      </c>
      <c r="C39" s="22">
        <f>LARGE(sales,B39)</f>
        <v>38.5</v>
      </c>
      <c r="D39" s="19" t="str">
        <f>_xlfn.XLOOKUP(C39,sales,Sellers)</f>
        <v>Ezra</v>
      </c>
    </row>
    <row r="40" spans="1:6" x14ac:dyDescent="0.25">
      <c r="B40" s="19">
        <v>2</v>
      </c>
      <c r="C40" s="22">
        <f>LARGE(sales,B40)</f>
        <v>35</v>
      </c>
      <c r="D40" s="19" t="str">
        <f>_xlfn.XLOOKUP(C40,sales,Sellers)</f>
        <v>Charlie</v>
      </c>
    </row>
    <row r="41" spans="1:6" x14ac:dyDescent="0.25">
      <c r="B41" s="19">
        <v>3</v>
      </c>
      <c r="C41" s="22">
        <f>LARGE(sales,B41)</f>
        <v>30</v>
      </c>
      <c r="D41" s="19" t="str">
        <f>_xlfn.XLOOKUP(C41,sales,Sellers)</f>
        <v>Max</v>
      </c>
    </row>
    <row r="42" spans="1:6" x14ac:dyDescent="0.25">
      <c r="B42" s="19"/>
      <c r="C42" s="22"/>
      <c r="D42" s="25"/>
    </row>
    <row r="43" spans="1:6" x14ac:dyDescent="0.25">
      <c r="B43" s="19"/>
      <c r="C43" s="21" t="s">
        <v>63</v>
      </c>
      <c r="D43" s="25" t="s">
        <v>62</v>
      </c>
    </row>
    <row r="44" spans="1:6" x14ac:dyDescent="0.25">
      <c r="B44" s="19">
        <v>1</v>
      </c>
      <c r="C44" s="22">
        <f>SMALL(sales,B44)</f>
        <v>3.5</v>
      </c>
      <c r="D44" s="19" t="str">
        <f>_xlfn.XLOOKUP(C44,sales,Sellers)</f>
        <v>Ella</v>
      </c>
    </row>
    <row r="45" spans="1:6" x14ac:dyDescent="0.25">
      <c r="B45" s="19">
        <v>2</v>
      </c>
      <c r="C45" s="22">
        <f>SMALL(sales,B45)</f>
        <v>5</v>
      </c>
      <c r="D45" s="19" t="str">
        <f>_xlfn.XLOOKUP(C45,sales,Sellers)</f>
        <v>Ella</v>
      </c>
    </row>
    <row r="46" spans="1:6" x14ac:dyDescent="0.25">
      <c r="B46" s="19">
        <v>3</v>
      </c>
      <c r="C46" s="22">
        <f>SMALL(sales,B46)</f>
        <v>7</v>
      </c>
      <c r="D46" s="19" t="str">
        <f>_xlfn.XLOOKUP(C46,sales,Sellers)</f>
        <v>Ella</v>
      </c>
    </row>
    <row r="47" spans="1:6" x14ac:dyDescent="0.25">
      <c r="C47" s="22"/>
    </row>
  </sheetData>
  <pageMargins left="0.7" right="0.7" top="0.75" bottom="0.75" header="0.3" footer="0.3"/>
  <ignoredErrors>
    <ignoredError sqref="H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5C00-8188-41D0-B738-55DA9AE34E63}">
  <dimension ref="B2:K56"/>
  <sheetViews>
    <sheetView topLeftCell="A36" workbookViewId="0">
      <selection activeCell="K41" sqref="K41"/>
    </sheetView>
  </sheetViews>
  <sheetFormatPr baseColWidth="10" defaultRowHeight="15" x14ac:dyDescent="0.25"/>
  <cols>
    <col min="4" max="4" width="11.85546875" bestFit="1" customWidth="1"/>
    <col min="8" max="8" width="18.140625" bestFit="1" customWidth="1"/>
  </cols>
  <sheetData>
    <row r="2" spans="2:10" x14ac:dyDescent="0.25">
      <c r="B2" s="26"/>
      <c r="C2" s="29">
        <v>125.456</v>
      </c>
      <c r="D2" s="29"/>
      <c r="E2" s="26"/>
      <c r="F2" s="26"/>
      <c r="G2" s="26"/>
      <c r="H2" s="26"/>
      <c r="I2" s="26"/>
      <c r="J2" s="26"/>
    </row>
    <row r="4" spans="2:10" x14ac:dyDescent="0.25">
      <c r="B4" s="26" t="s">
        <v>65</v>
      </c>
      <c r="C4" s="28" t="s">
        <v>66</v>
      </c>
      <c r="D4" s="28"/>
      <c r="E4" s="26"/>
      <c r="F4" s="26"/>
      <c r="G4" s="26"/>
      <c r="H4" s="26"/>
      <c r="I4" s="26"/>
      <c r="J4" s="26"/>
    </row>
    <row r="5" spans="2:10" x14ac:dyDescent="0.25">
      <c r="B5" s="26">
        <v>3</v>
      </c>
      <c r="C5" s="18">
        <f>ROUND($C$2,B5)</f>
        <v>125.456</v>
      </c>
      <c r="D5" s="30"/>
      <c r="E5" s="27" t="s">
        <v>67</v>
      </c>
      <c r="F5" s="27" t="s">
        <v>68</v>
      </c>
      <c r="G5" s="27" t="s">
        <v>69</v>
      </c>
      <c r="H5" s="27" t="s">
        <v>70</v>
      </c>
      <c r="I5" s="27" t="s">
        <v>71</v>
      </c>
      <c r="J5" s="27" t="s">
        <v>72</v>
      </c>
    </row>
    <row r="6" spans="2:10" x14ac:dyDescent="0.25">
      <c r="B6" s="26">
        <v>2</v>
      </c>
      <c r="C6" s="18">
        <f>ROUND($C$2,B6)</f>
        <v>125.46</v>
      </c>
      <c r="D6" s="30"/>
      <c r="E6" s="26">
        <v>3.2</v>
      </c>
      <c r="F6" s="2">
        <f>ROUND(E6,0)</f>
        <v>3</v>
      </c>
      <c r="G6" s="2" cm="1">
        <f t="array" ref="G6:G9">ROUNDUP(E6:E9,0)</f>
        <v>4</v>
      </c>
      <c r="H6" s="2" cm="1">
        <f t="array" ref="H6:H9">ROUNDDOWN(E6:E9,0)</f>
        <v>3</v>
      </c>
      <c r="I6" s="2" cm="1">
        <f t="array" ref="I6:I9">INT(E6:E9)</f>
        <v>3</v>
      </c>
      <c r="J6" s="2" cm="1">
        <f t="array" ref="J6:J9">TRUNC(E6:E9)</f>
        <v>3</v>
      </c>
    </row>
    <row r="7" spans="2:10" x14ac:dyDescent="0.25">
      <c r="B7" s="26">
        <v>1</v>
      </c>
      <c r="C7" s="18">
        <f>ROUND($C$2,B7)</f>
        <v>125.5</v>
      </c>
      <c r="D7" s="30"/>
      <c r="E7" s="26">
        <v>1.9</v>
      </c>
      <c r="F7" s="2">
        <f>ROUND(E7,0)</f>
        <v>2</v>
      </c>
      <c r="G7" s="2">
        <v>2</v>
      </c>
      <c r="H7" s="2">
        <v>1</v>
      </c>
      <c r="I7" s="2">
        <v>1</v>
      </c>
      <c r="J7" s="2">
        <v>1</v>
      </c>
    </row>
    <row r="8" spans="2:10" x14ac:dyDescent="0.25">
      <c r="B8" s="26">
        <v>0</v>
      </c>
      <c r="C8" s="18">
        <f t="shared" ref="C6:C10" si="0">ROUND($C$2,B8)</f>
        <v>125</v>
      </c>
      <c r="D8" s="31"/>
      <c r="E8" s="26">
        <v>-1.9</v>
      </c>
      <c r="F8" s="2">
        <f>ROUND(E8,0)</f>
        <v>-2</v>
      </c>
      <c r="G8" s="2">
        <v>-2</v>
      </c>
      <c r="H8" s="2">
        <v>-1</v>
      </c>
      <c r="I8" s="2">
        <v>-2</v>
      </c>
      <c r="J8" s="2">
        <v>-1</v>
      </c>
    </row>
    <row r="9" spans="2:10" x14ac:dyDescent="0.25">
      <c r="B9" s="26">
        <v>-1</v>
      </c>
      <c r="C9" s="18">
        <f t="shared" si="0"/>
        <v>130</v>
      </c>
      <c r="D9" s="31"/>
      <c r="E9" s="26">
        <v>-3.2</v>
      </c>
      <c r="F9" s="2">
        <f>ROUND(E9,0)</f>
        <v>-3</v>
      </c>
      <c r="G9" s="2">
        <v>-4</v>
      </c>
      <c r="H9" s="2">
        <v>-3</v>
      </c>
      <c r="I9" s="2">
        <v>-4</v>
      </c>
      <c r="J9" s="2">
        <v>-3</v>
      </c>
    </row>
    <row r="10" spans="2:10" x14ac:dyDescent="0.25">
      <c r="B10" s="26">
        <v>-2</v>
      </c>
      <c r="C10" s="18">
        <f t="shared" si="0"/>
        <v>100</v>
      </c>
      <c r="D10" s="31"/>
      <c r="E10" s="26"/>
      <c r="F10" s="26"/>
      <c r="G10" s="26"/>
      <c r="H10" s="26"/>
      <c r="I10" s="26"/>
      <c r="J10" s="26"/>
    </row>
    <row r="13" spans="2:10" x14ac:dyDescent="0.25">
      <c r="B13" s="32" t="s">
        <v>73</v>
      </c>
      <c r="C13" s="32">
        <v>0.2</v>
      </c>
      <c r="D13" s="32"/>
      <c r="E13" s="32"/>
    </row>
    <row r="15" spans="2:10" x14ac:dyDescent="0.25">
      <c r="B15" s="32"/>
      <c r="C15" s="32" t="s">
        <v>74</v>
      </c>
      <c r="D15" s="32" t="s">
        <v>75</v>
      </c>
      <c r="E15" s="32" t="s">
        <v>76</v>
      </c>
    </row>
    <row r="16" spans="2:10" x14ac:dyDescent="0.25">
      <c r="B16" s="32">
        <v>4.7</v>
      </c>
      <c r="C16" s="2">
        <f>MROUND(B16,$C$13)</f>
        <v>4.8000000000000007</v>
      </c>
      <c r="D16" s="2">
        <f>CEILING(B16,$C$13)</f>
        <v>4.8000000000000007</v>
      </c>
      <c r="E16" s="2">
        <f>FLOOR(B16,$C$13)</f>
        <v>4.6000000000000005</v>
      </c>
    </row>
    <row r="17" spans="2:7" x14ac:dyDescent="0.25">
      <c r="B17" s="32">
        <v>4.25</v>
      </c>
      <c r="C17" s="2">
        <f>MROUND(B17,$C$13)</f>
        <v>4.2</v>
      </c>
      <c r="D17" s="2">
        <f>CEILING(B17,$C$13)</f>
        <v>4.4000000000000004</v>
      </c>
      <c r="E17" s="2">
        <f>FLOOR(B17,$C$13)</f>
        <v>4.2</v>
      </c>
    </row>
    <row r="21" spans="2:7" x14ac:dyDescent="0.25">
      <c r="B21" s="33" t="s">
        <v>77</v>
      </c>
      <c r="C21" s="33" t="s">
        <v>78</v>
      </c>
      <c r="D21" s="33"/>
      <c r="E21" s="33"/>
      <c r="F21" s="33" t="s">
        <v>79</v>
      </c>
      <c r="G21" s="33" t="s">
        <v>80</v>
      </c>
    </row>
    <row r="22" spans="2:7" x14ac:dyDescent="0.25">
      <c r="B22" s="33">
        <v>7</v>
      </c>
      <c r="C22" s="33">
        <v>3</v>
      </c>
      <c r="D22" s="33"/>
      <c r="E22" s="33"/>
      <c r="F22" s="2">
        <f>INT(B22/C22)</f>
        <v>2</v>
      </c>
      <c r="G22" s="2">
        <f>MOD(B22,C22)</f>
        <v>1</v>
      </c>
    </row>
    <row r="23" spans="2:7" x14ac:dyDescent="0.25">
      <c r="B23" s="33">
        <v>100</v>
      </c>
      <c r="C23" s="33">
        <v>7</v>
      </c>
      <c r="D23" s="33"/>
      <c r="E23" s="33"/>
      <c r="F23" s="2">
        <f>INT(B23/C23)</f>
        <v>14</v>
      </c>
      <c r="G23" s="2">
        <f>MOD(B23,C23)</f>
        <v>2</v>
      </c>
    </row>
    <row r="26" spans="2:7" x14ac:dyDescent="0.25">
      <c r="B26" t="s">
        <v>81</v>
      </c>
      <c r="C26" t="s">
        <v>92</v>
      </c>
      <c r="D26" t="s">
        <v>93</v>
      </c>
      <c r="F26" t="s">
        <v>82</v>
      </c>
      <c r="G26" t="s">
        <v>92</v>
      </c>
    </row>
    <row r="27" spans="2:7" x14ac:dyDescent="0.25">
      <c r="B27" s="36">
        <v>0.2722222222222222</v>
      </c>
      <c r="C27" s="42">
        <f>MROUND(B27,"0:15")</f>
        <v>0.27083333333333331</v>
      </c>
      <c r="D27" s="42">
        <f>CEILING(B27,"0:15")</f>
        <v>0.28125</v>
      </c>
      <c r="F27" s="37">
        <v>8.2100000000000009</v>
      </c>
      <c r="G27" s="34">
        <f>MROUND(F27,0.1)-0.01</f>
        <v>8.1900000000000013</v>
      </c>
    </row>
    <row r="28" spans="2:7" x14ac:dyDescent="0.25">
      <c r="B28" s="36">
        <v>0.36736111111111108</v>
      </c>
      <c r="C28" s="42">
        <f t="shared" ref="C28:C33" si="1">MROUND(B28,"0:15")</f>
        <v>0.36458333333333331</v>
      </c>
      <c r="D28" s="42">
        <f t="shared" ref="D28:D33" si="2">CEILING(B28,"0:15")</f>
        <v>0.375</v>
      </c>
      <c r="F28" s="37">
        <v>44.72</v>
      </c>
      <c r="G28" s="34">
        <f>MROUND(F28,0.1)-0.01</f>
        <v>44.690000000000005</v>
      </c>
    </row>
    <row r="29" spans="2:7" x14ac:dyDescent="0.25">
      <c r="B29" s="36">
        <v>0.4152777777777778</v>
      </c>
      <c r="C29" s="42">
        <f t="shared" si="1"/>
        <v>0.41666666666666663</v>
      </c>
      <c r="D29" s="42">
        <f t="shared" si="2"/>
        <v>0.41666666666666663</v>
      </c>
      <c r="F29" s="37">
        <v>1.08</v>
      </c>
      <c r="G29" s="34">
        <f>MROUND(F29,0.1)-0.01</f>
        <v>1.0900000000000001</v>
      </c>
    </row>
    <row r="30" spans="2:7" x14ac:dyDescent="0.25">
      <c r="B30" s="36">
        <v>0.56388888888888888</v>
      </c>
      <c r="C30" s="42">
        <f t="shared" si="1"/>
        <v>0.5625</v>
      </c>
      <c r="D30" s="42">
        <f t="shared" si="2"/>
        <v>0.57291666666666663</v>
      </c>
      <c r="F30" s="38">
        <v>8.2100000000000009</v>
      </c>
      <c r="G30" s="34">
        <f>MROUND(F30,0.1)-0.01</f>
        <v>8.1900000000000013</v>
      </c>
    </row>
    <row r="31" spans="2:7" x14ac:dyDescent="0.25">
      <c r="B31" s="36">
        <v>0.61875000000000002</v>
      </c>
      <c r="C31" s="42">
        <f t="shared" si="1"/>
        <v>0.61458333333333326</v>
      </c>
      <c r="D31" s="42">
        <f t="shared" si="2"/>
        <v>0.625</v>
      </c>
      <c r="F31" s="38">
        <v>44.72</v>
      </c>
      <c r="G31" s="34">
        <f>MROUND(F31,0.1)-0.01</f>
        <v>44.690000000000005</v>
      </c>
    </row>
    <row r="32" spans="2:7" x14ac:dyDescent="0.25">
      <c r="B32" s="36">
        <v>0.67222222222222217</v>
      </c>
      <c r="C32" s="42">
        <f t="shared" si="1"/>
        <v>0.67708333333333326</v>
      </c>
      <c r="D32" s="42">
        <f t="shared" si="2"/>
        <v>0.67708333333333326</v>
      </c>
      <c r="F32" s="38">
        <v>1.08</v>
      </c>
      <c r="G32" s="34">
        <f>MROUND(F32,0.1)-0.01</f>
        <v>1.0900000000000001</v>
      </c>
    </row>
    <row r="33" spans="2:11" x14ac:dyDescent="0.25">
      <c r="B33" s="36">
        <v>0.72291666666666676</v>
      </c>
      <c r="C33" s="42">
        <f t="shared" si="1"/>
        <v>0.71875</v>
      </c>
      <c r="D33" s="42">
        <f t="shared" si="2"/>
        <v>0.72916666666666663</v>
      </c>
      <c r="F33" s="38">
        <v>1.08</v>
      </c>
      <c r="G33" s="34">
        <f>MROUND(F33,0.1)-0.01</f>
        <v>1.0900000000000001</v>
      </c>
    </row>
    <row r="37" spans="2:11" x14ac:dyDescent="0.25">
      <c r="B37" s="39">
        <v>76</v>
      </c>
      <c r="C37" s="39" t="s">
        <v>83</v>
      </c>
      <c r="F37" s="41" t="s">
        <v>88</v>
      </c>
      <c r="G37" s="41"/>
      <c r="H37" s="41" t="s">
        <v>89</v>
      </c>
      <c r="I37" s="41" t="s">
        <v>90</v>
      </c>
      <c r="J37" s="41"/>
      <c r="K37" s="41" t="s">
        <v>91</v>
      </c>
    </row>
    <row r="38" spans="2:11" x14ac:dyDescent="0.25">
      <c r="F38" s="41">
        <v>40</v>
      </c>
      <c r="G38" s="41"/>
      <c r="H38" s="41">
        <f>INT(F38/16)</f>
        <v>2</v>
      </c>
      <c r="I38" s="41">
        <f>MOD(F38,16)</f>
        <v>8</v>
      </c>
      <c r="J38" s="41"/>
      <c r="K38" s="41" t="str">
        <f>H38&amp;" lb, "&amp;I38&amp;" oz"</f>
        <v>2 lb, 8 oz</v>
      </c>
    </row>
    <row r="39" spans="2:11" x14ac:dyDescent="0.25">
      <c r="B39" s="39" t="s">
        <v>84</v>
      </c>
      <c r="C39" s="39"/>
      <c r="F39" s="41">
        <v>121</v>
      </c>
      <c r="G39" s="41"/>
      <c r="H39" s="41">
        <f t="shared" ref="H39:H41" si="3">INT(F39/16)</f>
        <v>7</v>
      </c>
      <c r="I39" s="41">
        <f t="shared" ref="I39:I41" si="4">MOD(F39,16)</f>
        <v>9</v>
      </c>
      <c r="J39" s="41"/>
      <c r="K39" s="41" t="str">
        <f>H39&amp;" lb, "&amp;I39&amp;" oz"</f>
        <v>7 lb, 9 oz</v>
      </c>
    </row>
    <row r="40" spans="2:11" x14ac:dyDescent="0.25">
      <c r="F40" s="41">
        <v>33</v>
      </c>
      <c r="G40" s="41"/>
      <c r="H40" s="41">
        <f t="shared" si="3"/>
        <v>2</v>
      </c>
      <c r="I40" s="41">
        <f t="shared" si="4"/>
        <v>1</v>
      </c>
      <c r="J40" s="41"/>
      <c r="K40" s="41" t="str">
        <f>H40&amp;" lb, "&amp;I40&amp;" oz"</f>
        <v>2 lb, 1 oz</v>
      </c>
    </row>
    <row r="41" spans="2:11" x14ac:dyDescent="0.25">
      <c r="B41" s="39">
        <f>CEILING(B37,12)/12</f>
        <v>7</v>
      </c>
      <c r="C41" s="39" t="s">
        <v>85</v>
      </c>
      <c r="F41" s="41">
        <v>76</v>
      </c>
      <c r="G41" s="41"/>
      <c r="H41" s="41">
        <f t="shared" si="3"/>
        <v>4</v>
      </c>
      <c r="I41" s="41">
        <f t="shared" si="4"/>
        <v>12</v>
      </c>
      <c r="J41" s="41"/>
      <c r="K41" s="41" t="str">
        <f>H41&amp;" lb, "&amp;I41&amp;" oz"</f>
        <v>4 lb, 12 oz</v>
      </c>
    </row>
    <row r="44" spans="2:11" x14ac:dyDescent="0.25">
      <c r="B44" s="40" t="s">
        <v>86</v>
      </c>
      <c r="C44" s="40"/>
      <c r="D44" s="40"/>
      <c r="F44" s="40" t="s">
        <v>87</v>
      </c>
    </row>
    <row r="45" spans="2:11" x14ac:dyDescent="0.25">
      <c r="B45" s="40">
        <v>1</v>
      </c>
      <c r="C45" s="40" t="str">
        <f>IF(MOD(B45,2)=0,"PAR","IMPAR")</f>
        <v>IMPAR</v>
      </c>
      <c r="D45" s="40"/>
      <c r="F45" s="40">
        <v>1</v>
      </c>
      <c r="G45" s="41" t="str">
        <f>IF(MOD(F45,3)=0,"Yes","No")</f>
        <v>No</v>
      </c>
      <c r="H45" t="b">
        <f>MOD(F45,3)=0</f>
        <v>0</v>
      </c>
    </row>
    <row r="46" spans="2:11" x14ac:dyDescent="0.25">
      <c r="B46" s="40">
        <v>2</v>
      </c>
      <c r="C46" s="41" t="str">
        <f t="shared" ref="C46:C54" si="5">IF(MOD(B46,2)=0,"PAR","IMPAR")</f>
        <v>PAR</v>
      </c>
      <c r="D46" s="40"/>
      <c r="F46" s="40">
        <v>2</v>
      </c>
      <c r="G46" s="41" t="str">
        <f t="shared" ref="G46:G56" si="6">IF(MOD(F46,3)=0,"Yes","No")</f>
        <v>No</v>
      </c>
      <c r="H46" s="41" t="b">
        <f t="shared" ref="H46:H56" si="7">MOD(F46,3)=0</f>
        <v>0</v>
      </c>
    </row>
    <row r="47" spans="2:11" x14ac:dyDescent="0.25">
      <c r="B47" s="40">
        <v>3</v>
      </c>
      <c r="C47" s="41" t="str">
        <f t="shared" si="5"/>
        <v>IMPAR</v>
      </c>
      <c r="D47" s="40"/>
      <c r="F47" s="40">
        <v>3</v>
      </c>
      <c r="G47" s="41" t="str">
        <f t="shared" si="6"/>
        <v>Yes</v>
      </c>
      <c r="H47" s="41" t="b">
        <f t="shared" si="7"/>
        <v>1</v>
      </c>
    </row>
    <row r="48" spans="2:11" x14ac:dyDescent="0.25">
      <c r="B48" s="40">
        <v>4</v>
      </c>
      <c r="C48" s="41" t="str">
        <f t="shared" si="5"/>
        <v>PAR</v>
      </c>
      <c r="D48" s="40"/>
      <c r="F48" s="40">
        <v>4</v>
      </c>
      <c r="G48" s="41" t="str">
        <f t="shared" si="6"/>
        <v>No</v>
      </c>
      <c r="H48" s="41" t="b">
        <f t="shared" si="7"/>
        <v>0</v>
      </c>
    </row>
    <row r="49" spans="2:8" x14ac:dyDescent="0.25">
      <c r="B49" s="40">
        <v>5</v>
      </c>
      <c r="C49" s="41" t="str">
        <f t="shared" si="5"/>
        <v>IMPAR</v>
      </c>
      <c r="D49" s="40"/>
      <c r="F49" s="40">
        <v>5</v>
      </c>
      <c r="G49" s="41" t="str">
        <f t="shared" si="6"/>
        <v>No</v>
      </c>
      <c r="H49" s="41" t="b">
        <f t="shared" si="7"/>
        <v>0</v>
      </c>
    </row>
    <row r="50" spans="2:8" x14ac:dyDescent="0.25">
      <c r="B50" s="40">
        <v>6</v>
      </c>
      <c r="C50" s="41" t="str">
        <f t="shared" si="5"/>
        <v>PAR</v>
      </c>
      <c r="D50" s="40"/>
      <c r="F50" s="40">
        <v>6</v>
      </c>
      <c r="G50" s="41" t="str">
        <f t="shared" si="6"/>
        <v>Yes</v>
      </c>
      <c r="H50" s="41" t="b">
        <f t="shared" si="7"/>
        <v>1</v>
      </c>
    </row>
    <row r="51" spans="2:8" x14ac:dyDescent="0.25">
      <c r="B51" s="40">
        <v>7</v>
      </c>
      <c r="C51" s="41" t="str">
        <f t="shared" si="5"/>
        <v>IMPAR</v>
      </c>
      <c r="D51" s="40"/>
      <c r="F51" s="40">
        <v>7</v>
      </c>
      <c r="G51" s="41" t="str">
        <f t="shared" si="6"/>
        <v>No</v>
      </c>
      <c r="H51" s="41" t="b">
        <f t="shared" si="7"/>
        <v>0</v>
      </c>
    </row>
    <row r="52" spans="2:8" x14ac:dyDescent="0.25">
      <c r="B52" s="40">
        <v>8</v>
      </c>
      <c r="C52" s="41" t="str">
        <f t="shared" si="5"/>
        <v>PAR</v>
      </c>
      <c r="D52" s="40"/>
      <c r="F52" s="40">
        <v>8</v>
      </c>
      <c r="G52" s="41" t="str">
        <f t="shared" si="6"/>
        <v>No</v>
      </c>
      <c r="H52" s="41" t="b">
        <f t="shared" si="7"/>
        <v>0</v>
      </c>
    </row>
    <row r="53" spans="2:8" x14ac:dyDescent="0.25">
      <c r="B53" s="40">
        <v>9</v>
      </c>
      <c r="C53" s="41" t="str">
        <f t="shared" si="5"/>
        <v>IMPAR</v>
      </c>
      <c r="D53" s="40"/>
      <c r="F53" s="40">
        <v>9</v>
      </c>
      <c r="G53" s="41" t="str">
        <f t="shared" si="6"/>
        <v>Yes</v>
      </c>
      <c r="H53" s="41" t="b">
        <f t="shared" si="7"/>
        <v>1</v>
      </c>
    </row>
    <row r="54" spans="2:8" x14ac:dyDescent="0.25">
      <c r="B54" s="40">
        <v>10</v>
      </c>
      <c r="C54" s="41" t="str">
        <f t="shared" si="5"/>
        <v>PAR</v>
      </c>
      <c r="D54" s="40"/>
      <c r="F54" s="40">
        <v>10</v>
      </c>
      <c r="G54" s="41" t="str">
        <f t="shared" si="6"/>
        <v>No</v>
      </c>
      <c r="H54" s="41" t="b">
        <f t="shared" si="7"/>
        <v>0</v>
      </c>
    </row>
    <row r="55" spans="2:8" x14ac:dyDescent="0.25">
      <c r="B55" s="40"/>
      <c r="C55" s="40"/>
      <c r="D55" s="40"/>
      <c r="F55" s="40">
        <v>11</v>
      </c>
      <c r="G55" s="41" t="str">
        <f t="shared" si="6"/>
        <v>No</v>
      </c>
      <c r="H55" s="41" t="b">
        <f t="shared" si="7"/>
        <v>0</v>
      </c>
    </row>
    <row r="56" spans="2:8" x14ac:dyDescent="0.25">
      <c r="B56" s="40"/>
      <c r="C56" s="40"/>
      <c r="D56" s="40"/>
      <c r="F56" s="40">
        <v>12</v>
      </c>
      <c r="G56" s="41" t="str">
        <f t="shared" si="6"/>
        <v>Yes</v>
      </c>
      <c r="H56" s="41" t="b">
        <f t="shared" si="7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F44F-8BA8-4666-B506-F080DC1DC11E}">
  <dimension ref="A1:K8"/>
  <sheetViews>
    <sheetView workbookViewId="0">
      <selection activeCell="F15" sqref="F15"/>
    </sheetView>
  </sheetViews>
  <sheetFormatPr baseColWidth="10" defaultRowHeight="15" x14ac:dyDescent="0.25"/>
  <cols>
    <col min="1" max="1" width="17" bestFit="1" customWidth="1"/>
  </cols>
  <sheetData>
    <row r="1" spans="1:11" x14ac:dyDescent="0.25">
      <c r="A1" s="44" t="s">
        <v>94</v>
      </c>
      <c r="B1" s="44" t="s">
        <v>95</v>
      </c>
      <c r="E1" s="47" t="s">
        <v>102</v>
      </c>
      <c r="F1" s="47" t="s">
        <v>103</v>
      </c>
      <c r="G1" s="47" t="s">
        <v>104</v>
      </c>
      <c r="H1" s="46"/>
      <c r="I1" s="46"/>
    </row>
    <row r="2" spans="1:11" x14ac:dyDescent="0.25">
      <c r="A2" s="43" t="s">
        <v>96</v>
      </c>
      <c r="B2" s="45">
        <v>12347</v>
      </c>
      <c r="E2" s="48">
        <v>45901</v>
      </c>
      <c r="F2" s="46" t="s">
        <v>105</v>
      </c>
      <c r="G2" s="49">
        <v>45.12</v>
      </c>
      <c r="H2" s="46"/>
      <c r="I2" s="47" t="s">
        <v>106</v>
      </c>
    </row>
    <row r="3" spans="1:11" x14ac:dyDescent="0.25">
      <c r="A3" s="43" t="s">
        <v>97</v>
      </c>
      <c r="B3" s="45">
        <v>2175</v>
      </c>
      <c r="E3" s="48">
        <v>45903</v>
      </c>
      <c r="F3" s="46" t="s">
        <v>107</v>
      </c>
      <c r="G3" s="49">
        <v>35.69</v>
      </c>
      <c r="H3" s="46"/>
      <c r="I3" s="48" cm="1">
        <f t="array" ref="I3:K3">INDEX(E:G,COUNTA(E:E),0)</f>
        <v>45915</v>
      </c>
      <c r="J3" t="str">
        <v>Gas</v>
      </c>
      <c r="K3">
        <v>139</v>
      </c>
    </row>
    <row r="4" spans="1:11" x14ac:dyDescent="0.25">
      <c r="A4" s="43" t="s">
        <v>98</v>
      </c>
      <c r="B4" s="45">
        <v>8642</v>
      </c>
      <c r="E4" s="48">
        <v>45906</v>
      </c>
      <c r="F4" s="46" t="s">
        <v>108</v>
      </c>
      <c r="G4" s="49">
        <v>72.34</v>
      </c>
      <c r="H4" s="46"/>
      <c r="I4" s="46"/>
    </row>
    <row r="5" spans="1:11" x14ac:dyDescent="0.25">
      <c r="A5" s="43" t="s">
        <v>99</v>
      </c>
      <c r="B5" s="45">
        <v>1388</v>
      </c>
      <c r="E5" s="48">
        <v>45909</v>
      </c>
      <c r="F5" s="46" t="s">
        <v>109</v>
      </c>
      <c r="G5" s="49">
        <v>450</v>
      </c>
      <c r="H5" s="46"/>
      <c r="I5" s="46"/>
    </row>
    <row r="6" spans="1:11" x14ac:dyDescent="0.25">
      <c r="A6" s="43" t="s">
        <v>100</v>
      </c>
      <c r="B6" s="45">
        <v>950</v>
      </c>
      <c r="E6" s="48">
        <v>45911</v>
      </c>
      <c r="F6" s="46" t="s">
        <v>110</v>
      </c>
      <c r="G6" s="49">
        <v>38</v>
      </c>
      <c r="H6" s="46"/>
      <c r="I6" s="46"/>
    </row>
    <row r="7" spans="1:11" x14ac:dyDescent="0.25">
      <c r="E7" s="48">
        <v>45913</v>
      </c>
      <c r="F7" s="46" t="s">
        <v>105</v>
      </c>
      <c r="G7" s="49">
        <v>58.02</v>
      </c>
      <c r="H7" s="46"/>
      <c r="I7" s="46"/>
    </row>
    <row r="8" spans="1:11" x14ac:dyDescent="0.25">
      <c r="A8" s="43" t="s">
        <v>101</v>
      </c>
      <c r="B8" s="35">
        <f>ROUND(SUM(B2:B6),-3)</f>
        <v>26000</v>
      </c>
      <c r="E8" s="48">
        <v>45915</v>
      </c>
      <c r="F8" t="s">
        <v>107</v>
      </c>
      <c r="G8" s="49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2F22A-7EB2-4A59-A071-E70E17994BBC}">
  <dimension ref="A1:I28"/>
  <sheetViews>
    <sheetView workbookViewId="0">
      <selection activeCell="H8" sqref="H8"/>
    </sheetView>
  </sheetViews>
  <sheetFormatPr baseColWidth="10" defaultRowHeight="15" x14ac:dyDescent="0.25"/>
  <cols>
    <col min="4" max="5" width="11.85546875" bestFit="1" customWidth="1"/>
    <col min="7" max="9" width="11.85546875" bestFit="1" customWidth="1"/>
  </cols>
  <sheetData>
    <row r="1" spans="1:9" x14ac:dyDescent="0.25">
      <c r="A1" s="54" t="s">
        <v>111</v>
      </c>
      <c r="B1" s="53"/>
      <c r="C1" s="53"/>
      <c r="D1" s="53"/>
      <c r="E1" s="53"/>
      <c r="F1" s="53"/>
      <c r="G1" s="53"/>
      <c r="H1" s="53"/>
    </row>
    <row r="2" spans="1:9" x14ac:dyDescent="0.25">
      <c r="A2" s="53"/>
      <c r="B2" s="53"/>
      <c r="C2" s="53"/>
      <c r="D2" s="54"/>
      <c r="E2" s="52"/>
      <c r="F2" s="52"/>
      <c r="G2" s="52"/>
      <c r="H2" s="52"/>
    </row>
    <row r="3" spans="1:9" ht="45" x14ac:dyDescent="0.25">
      <c r="A3" s="55" t="s">
        <v>11</v>
      </c>
      <c r="B3" s="56" t="s">
        <v>112</v>
      </c>
      <c r="C3" s="54"/>
      <c r="D3" s="56" t="s">
        <v>113</v>
      </c>
      <c r="E3" s="57" t="s">
        <v>114</v>
      </c>
      <c r="F3" s="53"/>
      <c r="G3" s="53"/>
      <c r="H3" s="53"/>
    </row>
    <row r="4" spans="1:9" x14ac:dyDescent="0.25">
      <c r="A4" s="54" t="s">
        <v>115</v>
      </c>
      <c r="B4" s="54">
        <v>12</v>
      </c>
      <c r="C4" s="53"/>
      <c r="D4" s="53" t="str">
        <f>IF(B4&gt;10,"Yes","No")</f>
        <v>Yes</v>
      </c>
      <c r="E4" s="53" t="b">
        <f>B4&gt;10</f>
        <v>1</v>
      </c>
      <c r="F4" s="53"/>
      <c r="G4" s="53"/>
      <c r="H4" s="53"/>
    </row>
    <row r="5" spans="1:9" x14ac:dyDescent="0.25">
      <c r="A5" s="54" t="s">
        <v>116</v>
      </c>
      <c r="B5" s="54">
        <v>8</v>
      </c>
      <c r="C5" s="53"/>
      <c r="D5" s="58" t="str">
        <f t="shared" ref="D5:D11" si="0">IF(B5&gt;10,"Yes","No")</f>
        <v>No</v>
      </c>
      <c r="E5" s="58" t="b">
        <f t="shared" ref="E5:E11" si="1">B5&gt;10</f>
        <v>0</v>
      </c>
      <c r="F5" s="53"/>
      <c r="G5" s="53"/>
      <c r="H5" s="53"/>
    </row>
    <row r="6" spans="1:9" x14ac:dyDescent="0.25">
      <c r="A6" s="54" t="s">
        <v>117</v>
      </c>
      <c r="B6" s="54">
        <v>9</v>
      </c>
      <c r="C6" s="53"/>
      <c r="D6" s="58" t="str">
        <f t="shared" si="0"/>
        <v>No</v>
      </c>
      <c r="E6" s="58" t="b">
        <f t="shared" si="1"/>
        <v>0</v>
      </c>
      <c r="F6" s="53"/>
      <c r="G6" s="53"/>
      <c r="H6" s="53"/>
    </row>
    <row r="7" spans="1:9" x14ac:dyDescent="0.25">
      <c r="A7" s="54" t="s">
        <v>118</v>
      </c>
      <c r="B7" s="54">
        <v>15</v>
      </c>
      <c r="C7" s="53"/>
      <c r="D7" s="58" t="str">
        <f t="shared" si="0"/>
        <v>Yes</v>
      </c>
      <c r="E7" s="58" t="b">
        <f t="shared" si="1"/>
        <v>1</v>
      </c>
      <c r="F7" s="53"/>
      <c r="G7" s="53"/>
      <c r="H7" s="53"/>
    </row>
    <row r="8" spans="1:9" x14ac:dyDescent="0.25">
      <c r="A8" s="54" t="s">
        <v>119</v>
      </c>
      <c r="B8" s="54">
        <v>7</v>
      </c>
      <c r="C8" s="53"/>
      <c r="D8" s="58" t="str">
        <f t="shared" si="0"/>
        <v>No</v>
      </c>
      <c r="E8" s="58" t="b">
        <f t="shared" si="1"/>
        <v>0</v>
      </c>
      <c r="F8" s="53"/>
      <c r="G8" s="53"/>
      <c r="H8" s="53"/>
    </row>
    <row r="9" spans="1:9" x14ac:dyDescent="0.25">
      <c r="A9" s="54" t="s">
        <v>120</v>
      </c>
      <c r="B9" s="54">
        <v>11</v>
      </c>
      <c r="C9" s="53"/>
      <c r="D9" s="58" t="str">
        <f t="shared" si="0"/>
        <v>Yes</v>
      </c>
      <c r="E9" s="58" t="b">
        <f t="shared" si="1"/>
        <v>1</v>
      </c>
      <c r="F9" s="53"/>
      <c r="G9" s="53"/>
      <c r="H9" s="53"/>
    </row>
    <row r="10" spans="1:9" x14ac:dyDescent="0.25">
      <c r="A10" s="54" t="s">
        <v>121</v>
      </c>
      <c r="B10" s="54">
        <v>3</v>
      </c>
      <c r="C10" s="53"/>
      <c r="D10" s="58" t="str">
        <f t="shared" si="0"/>
        <v>No</v>
      </c>
      <c r="E10" s="58" t="b">
        <f t="shared" si="1"/>
        <v>0</v>
      </c>
      <c r="F10" s="53"/>
      <c r="G10" s="53"/>
      <c r="H10" s="53"/>
    </row>
    <row r="11" spans="1:9" x14ac:dyDescent="0.25">
      <c r="A11" s="54" t="s">
        <v>122</v>
      </c>
      <c r="B11" s="54">
        <v>15</v>
      </c>
      <c r="C11" s="53"/>
      <c r="D11" s="58" t="str">
        <f t="shared" si="0"/>
        <v>Yes</v>
      </c>
      <c r="E11" s="58" t="b">
        <f t="shared" si="1"/>
        <v>1</v>
      </c>
      <c r="F11" s="53"/>
      <c r="G11" s="53"/>
      <c r="H11" s="53"/>
    </row>
    <row r="15" spans="1:9" ht="30" x14ac:dyDescent="0.25">
      <c r="A15" s="58"/>
      <c r="B15" s="61" t="s">
        <v>123</v>
      </c>
      <c r="C15" s="58" t="s">
        <v>124</v>
      </c>
      <c r="D15" s="53"/>
      <c r="F15" s="50" t="s">
        <v>134</v>
      </c>
      <c r="G15" t="s">
        <v>92</v>
      </c>
      <c r="H15" t="s">
        <v>93</v>
      </c>
      <c r="I15" t="s">
        <v>135</v>
      </c>
    </row>
    <row r="16" spans="1:9" x14ac:dyDescent="0.25">
      <c r="A16" s="58"/>
      <c r="B16" s="59" t="s">
        <v>125</v>
      </c>
      <c r="C16" s="60">
        <v>0</v>
      </c>
      <c r="D16" s="53"/>
      <c r="F16">
        <v>5</v>
      </c>
      <c r="G16" t="b">
        <f>F16=5</f>
        <v>1</v>
      </c>
      <c r="H16" t="b">
        <f>F16&lt;12</f>
        <v>1</v>
      </c>
      <c r="I16" t="b">
        <f>F16&lt;&gt;2</f>
        <v>1</v>
      </c>
    </row>
    <row r="17" spans="1:4" x14ac:dyDescent="0.25">
      <c r="A17" s="58"/>
      <c r="B17" s="59" t="s">
        <v>126</v>
      </c>
      <c r="C17" s="60">
        <v>0.05</v>
      </c>
      <c r="D17" s="53"/>
    </row>
    <row r="18" spans="1:4" x14ac:dyDescent="0.25">
      <c r="A18" s="58"/>
      <c r="B18" s="59" t="s">
        <v>127</v>
      </c>
      <c r="C18" s="60">
        <v>0.1</v>
      </c>
      <c r="D18" s="53"/>
    </row>
    <row r="19" spans="1:4" x14ac:dyDescent="0.25">
      <c r="A19" s="58"/>
      <c r="B19" s="59" t="s">
        <v>128</v>
      </c>
      <c r="C19" s="60">
        <v>0.2</v>
      </c>
      <c r="D19" s="53"/>
    </row>
    <row r="20" spans="1:4" x14ac:dyDescent="0.25">
      <c r="A20" s="58"/>
      <c r="B20" s="58" t="s">
        <v>129</v>
      </c>
      <c r="C20" s="60">
        <v>0.25</v>
      </c>
      <c r="D20" s="53"/>
    </row>
    <row r="21" spans="1:4" ht="15.75" thickBot="1" x14ac:dyDescent="0.3">
      <c r="A21" s="58"/>
      <c r="B21" s="58"/>
      <c r="C21" s="58"/>
      <c r="D21" s="53"/>
    </row>
    <row r="22" spans="1:4" x14ac:dyDescent="0.25">
      <c r="A22" s="58"/>
      <c r="B22" s="62" t="s">
        <v>130</v>
      </c>
      <c r="C22" s="63">
        <v>450</v>
      </c>
      <c r="D22" s="53"/>
    </row>
    <row r="23" spans="1:4" x14ac:dyDescent="0.25">
      <c r="A23" s="58"/>
      <c r="B23" s="64" t="s">
        <v>131</v>
      </c>
      <c r="C23" s="65" cm="1">
        <f t="array" ref="C23">_xlfn.IFS(amount&lt;100,C16,amount&lt;250,C17,amount&lt;500,C18,amount&lt;1000,C19,amount&gt;=1000,C20)</f>
        <v>0.1</v>
      </c>
      <c r="D23" s="53"/>
    </row>
    <row r="24" spans="1:4" ht="15.75" thickBot="1" x14ac:dyDescent="0.3">
      <c r="A24" s="58"/>
      <c r="B24" s="66" t="s">
        <v>132</v>
      </c>
      <c r="C24" s="67">
        <f>amount*(1-disc)</f>
        <v>405</v>
      </c>
      <c r="D24" s="53"/>
    </row>
    <row r="25" spans="1:4" x14ac:dyDescent="0.25">
      <c r="A25" s="53"/>
      <c r="B25" s="53"/>
      <c r="C25" s="53"/>
      <c r="D25" s="53"/>
    </row>
    <row r="26" spans="1:4" x14ac:dyDescent="0.25">
      <c r="A26" s="58"/>
      <c r="B26" s="58"/>
      <c r="C26" s="68" t="s">
        <v>133</v>
      </c>
      <c r="D26" s="60">
        <f>IF(amount&lt;100,C16,IF(amount&lt;250,C17,IF(amount&lt;500,C18,IF(amount&lt;1000,C19,IF(amount&gt;=1000,C20)))))</f>
        <v>0.1</v>
      </c>
    </row>
    <row r="27" spans="1:4" x14ac:dyDescent="0.25">
      <c r="A27" s="58"/>
      <c r="B27" s="58"/>
      <c r="C27" s="60"/>
      <c r="D27" s="53"/>
    </row>
    <row r="28" spans="1:4" x14ac:dyDescent="0.25">
      <c r="A28" s="53"/>
      <c r="B28" s="53"/>
      <c r="C28" s="53"/>
      <c r="D28" s="53"/>
    </row>
  </sheetData>
  <mergeCells count="1">
    <mergeCell ref="E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373D-A662-488D-9B04-A6E9F4A08510}">
  <dimension ref="A1:K29"/>
  <sheetViews>
    <sheetView topLeftCell="A11" workbookViewId="0">
      <selection activeCell="K24" sqref="K24"/>
    </sheetView>
  </sheetViews>
  <sheetFormatPr baseColWidth="10" defaultRowHeight="15" x14ac:dyDescent="0.25"/>
  <cols>
    <col min="5" max="5" width="11.85546875" bestFit="1" customWidth="1"/>
    <col min="8" max="9" width="11.85546875" bestFit="1" customWidth="1"/>
    <col min="11" max="11" width="11.85546875" bestFit="1" customWidth="1"/>
  </cols>
  <sheetData>
    <row r="1" spans="1:11" x14ac:dyDescent="0.25">
      <c r="A1" s="71" t="s">
        <v>136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3" spans="1:11" ht="30" x14ac:dyDescent="0.25">
      <c r="A3" s="69"/>
      <c r="B3" s="70" t="s">
        <v>137</v>
      </c>
      <c r="C3" s="70" t="s">
        <v>138</v>
      </c>
      <c r="D3" s="70" t="s">
        <v>139</v>
      </c>
      <c r="E3" s="70" t="s">
        <v>140</v>
      </c>
      <c r="F3" s="73" t="s">
        <v>141</v>
      </c>
      <c r="G3" s="69"/>
      <c r="H3" s="51" t="s">
        <v>142</v>
      </c>
      <c r="I3" s="51"/>
      <c r="J3" s="70" t="s">
        <v>143</v>
      </c>
      <c r="K3" s="71" t="s">
        <v>144</v>
      </c>
    </row>
    <row r="4" spans="1:11" x14ac:dyDescent="0.25">
      <c r="A4" s="69"/>
      <c r="B4" s="71">
        <v>1001</v>
      </c>
      <c r="C4" s="72">
        <v>120</v>
      </c>
      <c r="D4" s="71" t="s">
        <v>145</v>
      </c>
      <c r="E4" s="69" t="b">
        <f>AND(C4&gt;100,D4="USA")</f>
        <v>1</v>
      </c>
      <c r="F4" s="69" t="str">
        <f>IF(E4=TRUE,"Yes", "No")</f>
        <v>Yes</v>
      </c>
      <c r="G4" s="69"/>
      <c r="H4" s="69" t="b">
        <f>C4&gt;100</f>
        <v>1</v>
      </c>
      <c r="I4" s="69" t="b">
        <f>D4="USA"</f>
        <v>1</v>
      </c>
      <c r="J4" s="69">
        <f>I4*H4</f>
        <v>1</v>
      </c>
      <c r="K4" s="75" t="b">
        <f>I4*H4=1</f>
        <v>1</v>
      </c>
    </row>
    <row r="5" spans="1:11" x14ac:dyDescent="0.25">
      <c r="A5" s="69"/>
      <c r="B5" s="71">
        <v>1002</v>
      </c>
      <c r="C5" s="72">
        <v>85</v>
      </c>
      <c r="D5" s="71" t="s">
        <v>145</v>
      </c>
      <c r="E5" s="75" t="b">
        <f t="shared" ref="E5:E13" si="0">AND(C5&gt;100,D5="USA")</f>
        <v>0</v>
      </c>
      <c r="F5" s="75" t="str">
        <f t="shared" ref="F5:F13" si="1">IF(E5=TRUE,"Yes", "No")</f>
        <v>No</v>
      </c>
      <c r="G5" s="69"/>
      <c r="H5" s="75" t="b">
        <f t="shared" ref="H5:H13" si="2">C5&gt;100</f>
        <v>0</v>
      </c>
      <c r="I5" s="75" t="b">
        <f t="shared" ref="I5:I13" si="3">D5="USA"</f>
        <v>1</v>
      </c>
      <c r="J5" s="75">
        <f t="shared" ref="J5:J13" si="4">I5*H5</f>
        <v>0</v>
      </c>
      <c r="K5" s="75" t="b">
        <f t="shared" ref="K5:K13" si="5">I5*H5=1</f>
        <v>0</v>
      </c>
    </row>
    <row r="6" spans="1:11" x14ac:dyDescent="0.25">
      <c r="A6" s="69"/>
      <c r="B6" s="71">
        <v>1003</v>
      </c>
      <c r="C6" s="72">
        <v>150</v>
      </c>
      <c r="D6" s="71" t="s">
        <v>146</v>
      </c>
      <c r="E6" s="75" t="b">
        <f t="shared" si="0"/>
        <v>0</v>
      </c>
      <c r="F6" s="75" t="str">
        <f t="shared" si="1"/>
        <v>No</v>
      </c>
      <c r="G6" s="69"/>
      <c r="H6" s="75" t="b">
        <f t="shared" si="2"/>
        <v>1</v>
      </c>
      <c r="I6" s="75" t="b">
        <f t="shared" si="3"/>
        <v>0</v>
      </c>
      <c r="J6" s="75">
        <f t="shared" si="4"/>
        <v>0</v>
      </c>
      <c r="K6" s="75" t="b">
        <f t="shared" si="5"/>
        <v>0</v>
      </c>
    </row>
    <row r="7" spans="1:11" x14ac:dyDescent="0.25">
      <c r="A7" s="69"/>
      <c r="B7" s="71">
        <v>1004</v>
      </c>
      <c r="C7" s="72">
        <v>200</v>
      </c>
      <c r="D7" s="71" t="s">
        <v>145</v>
      </c>
      <c r="E7" s="75" t="b">
        <f t="shared" si="0"/>
        <v>1</v>
      </c>
      <c r="F7" s="75" t="str">
        <f t="shared" si="1"/>
        <v>Yes</v>
      </c>
      <c r="G7" s="69"/>
      <c r="H7" s="75" t="b">
        <f t="shared" si="2"/>
        <v>1</v>
      </c>
      <c r="I7" s="75" t="b">
        <f t="shared" si="3"/>
        <v>1</v>
      </c>
      <c r="J7" s="75">
        <f t="shared" si="4"/>
        <v>1</v>
      </c>
      <c r="K7" s="75" t="b">
        <f t="shared" si="5"/>
        <v>1</v>
      </c>
    </row>
    <row r="8" spans="1:11" x14ac:dyDescent="0.25">
      <c r="A8" s="69"/>
      <c r="B8" s="71">
        <v>1005</v>
      </c>
      <c r="C8" s="72">
        <v>75</v>
      </c>
      <c r="D8" s="71" t="s">
        <v>147</v>
      </c>
      <c r="E8" s="75" t="b">
        <f t="shared" si="0"/>
        <v>0</v>
      </c>
      <c r="F8" s="75" t="str">
        <f t="shared" si="1"/>
        <v>No</v>
      </c>
      <c r="G8" s="69"/>
      <c r="H8" s="75" t="b">
        <f t="shared" si="2"/>
        <v>0</v>
      </c>
      <c r="I8" s="75" t="b">
        <f t="shared" si="3"/>
        <v>0</v>
      </c>
      <c r="J8" s="75">
        <f t="shared" si="4"/>
        <v>0</v>
      </c>
      <c r="K8" s="75" t="b">
        <f t="shared" si="5"/>
        <v>0</v>
      </c>
    </row>
    <row r="9" spans="1:11" x14ac:dyDescent="0.25">
      <c r="A9" s="69"/>
      <c r="B9" s="71">
        <v>1006</v>
      </c>
      <c r="C9" s="72">
        <v>60</v>
      </c>
      <c r="D9" s="71" t="s">
        <v>145</v>
      </c>
      <c r="E9" s="75" t="b">
        <f t="shared" si="0"/>
        <v>0</v>
      </c>
      <c r="F9" s="75" t="str">
        <f t="shared" si="1"/>
        <v>No</v>
      </c>
      <c r="G9" s="69"/>
      <c r="H9" s="75" t="b">
        <f t="shared" si="2"/>
        <v>0</v>
      </c>
      <c r="I9" s="75" t="b">
        <f t="shared" si="3"/>
        <v>1</v>
      </c>
      <c r="J9" s="75">
        <f t="shared" si="4"/>
        <v>0</v>
      </c>
      <c r="K9" s="75" t="b">
        <f t="shared" si="5"/>
        <v>0</v>
      </c>
    </row>
    <row r="10" spans="1:11" x14ac:dyDescent="0.25">
      <c r="A10" s="69"/>
      <c r="B10" s="71">
        <v>1007</v>
      </c>
      <c r="C10" s="72">
        <v>135</v>
      </c>
      <c r="D10" s="71" t="s">
        <v>145</v>
      </c>
      <c r="E10" s="75" t="b">
        <f t="shared" si="0"/>
        <v>1</v>
      </c>
      <c r="F10" s="75" t="str">
        <f t="shared" si="1"/>
        <v>Yes</v>
      </c>
      <c r="G10" s="69"/>
      <c r="H10" s="75" t="b">
        <f t="shared" si="2"/>
        <v>1</v>
      </c>
      <c r="I10" s="75" t="b">
        <f t="shared" si="3"/>
        <v>1</v>
      </c>
      <c r="J10" s="75">
        <f t="shared" si="4"/>
        <v>1</v>
      </c>
      <c r="K10" s="75" t="b">
        <f t="shared" si="5"/>
        <v>1</v>
      </c>
    </row>
    <row r="11" spans="1:11" x14ac:dyDescent="0.25">
      <c r="A11" s="69"/>
      <c r="B11" s="71">
        <v>1008</v>
      </c>
      <c r="C11" s="72">
        <v>90</v>
      </c>
      <c r="D11" s="71" t="s">
        <v>146</v>
      </c>
      <c r="E11" s="75" t="b">
        <f t="shared" si="0"/>
        <v>0</v>
      </c>
      <c r="F11" s="75" t="str">
        <f t="shared" si="1"/>
        <v>No</v>
      </c>
      <c r="G11" s="69"/>
      <c r="H11" s="75" t="b">
        <f t="shared" si="2"/>
        <v>0</v>
      </c>
      <c r="I11" s="75" t="b">
        <f t="shared" si="3"/>
        <v>0</v>
      </c>
      <c r="J11" s="75">
        <f t="shared" si="4"/>
        <v>0</v>
      </c>
      <c r="K11" s="75" t="b">
        <f t="shared" si="5"/>
        <v>0</v>
      </c>
    </row>
    <row r="12" spans="1:11" x14ac:dyDescent="0.25">
      <c r="A12" s="69"/>
      <c r="B12" s="71">
        <v>1009</v>
      </c>
      <c r="C12" s="72">
        <v>50</v>
      </c>
      <c r="D12" s="71" t="s">
        <v>145</v>
      </c>
      <c r="E12" s="75" t="b">
        <f t="shared" si="0"/>
        <v>0</v>
      </c>
      <c r="F12" s="75" t="str">
        <f t="shared" si="1"/>
        <v>No</v>
      </c>
      <c r="G12" s="69"/>
      <c r="H12" s="75" t="b">
        <f t="shared" si="2"/>
        <v>0</v>
      </c>
      <c r="I12" s="75" t="b">
        <f t="shared" si="3"/>
        <v>1</v>
      </c>
      <c r="J12" s="75">
        <f t="shared" si="4"/>
        <v>0</v>
      </c>
      <c r="K12" s="75" t="b">
        <f t="shared" si="5"/>
        <v>0</v>
      </c>
    </row>
    <row r="13" spans="1:11" x14ac:dyDescent="0.25">
      <c r="A13" s="69"/>
      <c r="B13" s="71">
        <v>1010</v>
      </c>
      <c r="C13" s="72">
        <v>175</v>
      </c>
      <c r="D13" s="71" t="s">
        <v>146</v>
      </c>
      <c r="E13" s="75" t="b">
        <f t="shared" si="0"/>
        <v>0</v>
      </c>
      <c r="F13" s="75" t="str">
        <f t="shared" si="1"/>
        <v>No</v>
      </c>
      <c r="G13" s="69"/>
      <c r="H13" s="75" t="b">
        <f t="shared" si="2"/>
        <v>1</v>
      </c>
      <c r="I13" s="75" t="b">
        <f t="shared" si="3"/>
        <v>0</v>
      </c>
      <c r="J13" s="75">
        <f t="shared" si="4"/>
        <v>0</v>
      </c>
      <c r="K13" s="75" t="b">
        <f t="shared" si="5"/>
        <v>0</v>
      </c>
    </row>
    <row r="15" spans="1:11" x14ac:dyDescent="0.25">
      <c r="A15" s="69"/>
      <c r="B15" s="69"/>
      <c r="C15" s="69"/>
      <c r="D15" s="69"/>
      <c r="E15" s="69"/>
      <c r="F15" s="69"/>
      <c r="G15" s="69"/>
      <c r="H15" s="71"/>
      <c r="I15" s="69"/>
      <c r="J15" s="69"/>
      <c r="K15" s="69"/>
    </row>
    <row r="17" spans="1:11" x14ac:dyDescent="0.25">
      <c r="A17" s="77" t="s">
        <v>148</v>
      </c>
      <c r="B17" s="75"/>
      <c r="C17" s="75"/>
      <c r="D17" s="75"/>
      <c r="E17" s="75"/>
      <c r="F17" s="75"/>
      <c r="G17" s="75"/>
      <c r="H17" s="75"/>
      <c r="I17" s="75"/>
      <c r="J17" s="75"/>
    </row>
    <row r="18" spans="1:11" x14ac:dyDescent="0.25">
      <c r="A18" s="69"/>
      <c r="B18" s="69"/>
      <c r="C18" s="69"/>
      <c r="D18" s="69"/>
      <c r="E18" s="69"/>
      <c r="F18" s="69"/>
      <c r="G18" s="69"/>
      <c r="H18" s="69"/>
      <c r="I18" s="69"/>
      <c r="J18" s="69"/>
    </row>
    <row r="19" spans="1:11" ht="30" x14ac:dyDescent="0.25">
      <c r="A19" s="75"/>
      <c r="B19" s="76" t="s">
        <v>11</v>
      </c>
      <c r="C19" s="76" t="s">
        <v>112</v>
      </c>
      <c r="D19" s="76" t="s">
        <v>149</v>
      </c>
      <c r="E19" s="76" t="s">
        <v>150</v>
      </c>
      <c r="F19" s="78" t="s">
        <v>151</v>
      </c>
      <c r="G19" s="75"/>
      <c r="H19" s="51" t="s">
        <v>142</v>
      </c>
      <c r="I19" s="51"/>
      <c r="J19" s="76" t="s">
        <v>152</v>
      </c>
      <c r="K19" s="77" t="s">
        <v>144</v>
      </c>
    </row>
    <row r="20" spans="1:11" x14ac:dyDescent="0.25">
      <c r="A20" s="75"/>
      <c r="B20" s="77" t="s">
        <v>115</v>
      </c>
      <c r="C20" s="77">
        <v>12</v>
      </c>
      <c r="D20" s="77">
        <v>45</v>
      </c>
      <c r="E20" s="75" t="b">
        <f>OR(C20&gt;10,D20&gt;60)</f>
        <v>1</v>
      </c>
      <c r="F20" s="75" t="str">
        <f>IF(E20=TRUE,"Yes", "No")</f>
        <v>Yes</v>
      </c>
      <c r="G20" s="75"/>
      <c r="H20" s="75" t="b">
        <f>C20&gt;10</f>
        <v>1</v>
      </c>
      <c r="I20" s="75" t="b">
        <f>D20&gt;60</f>
        <v>0</v>
      </c>
      <c r="J20" s="75">
        <f>H20+I20</f>
        <v>1</v>
      </c>
      <c r="K20" s="75" t="b">
        <f>(I20+H20)&gt;=1</f>
        <v>1</v>
      </c>
    </row>
    <row r="21" spans="1:11" x14ac:dyDescent="0.25">
      <c r="A21" s="75"/>
      <c r="B21" s="77" t="s">
        <v>116</v>
      </c>
      <c r="C21" s="77">
        <v>8</v>
      </c>
      <c r="D21" s="77">
        <v>62</v>
      </c>
      <c r="E21" s="75" t="b">
        <f t="shared" ref="E21:E27" si="6">OR(C21&gt;10,D21&gt;60)</f>
        <v>1</v>
      </c>
      <c r="F21" s="75" t="str">
        <f t="shared" ref="F21:F27" si="7">IF(E21=TRUE,"Yes", "No")</f>
        <v>Yes</v>
      </c>
      <c r="G21" s="75"/>
      <c r="H21" s="75" t="b">
        <f t="shared" ref="H21:H27" si="8">C21&gt;10</f>
        <v>0</v>
      </c>
      <c r="I21" s="75" t="b">
        <f t="shared" ref="I21:I27" si="9">D21&gt;60</f>
        <v>1</v>
      </c>
      <c r="J21" s="75">
        <f t="shared" ref="J21:J27" si="10">H21+I21</f>
        <v>1</v>
      </c>
      <c r="K21" s="75" t="b">
        <f t="shared" ref="K21:K27" si="11">(I21+H21)&gt;=1</f>
        <v>1</v>
      </c>
    </row>
    <row r="22" spans="1:11" x14ac:dyDescent="0.25">
      <c r="A22" s="75"/>
      <c r="B22" s="77" t="s">
        <v>117</v>
      </c>
      <c r="C22" s="77">
        <v>9</v>
      </c>
      <c r="D22" s="77">
        <v>59</v>
      </c>
      <c r="E22" s="75" t="b">
        <f t="shared" si="6"/>
        <v>0</v>
      </c>
      <c r="F22" s="75" t="str">
        <f t="shared" si="7"/>
        <v>No</v>
      </c>
      <c r="G22" s="75"/>
      <c r="H22" s="75" t="b">
        <f t="shared" si="8"/>
        <v>0</v>
      </c>
      <c r="I22" s="75" t="b">
        <f t="shared" si="9"/>
        <v>0</v>
      </c>
      <c r="J22" s="75">
        <f t="shared" si="10"/>
        <v>0</v>
      </c>
      <c r="K22" s="75" t="b">
        <f t="shared" si="11"/>
        <v>0</v>
      </c>
    </row>
    <row r="23" spans="1:11" x14ac:dyDescent="0.25">
      <c r="A23" s="75"/>
      <c r="B23" s="77" t="s">
        <v>118</v>
      </c>
      <c r="C23" s="77">
        <v>15</v>
      </c>
      <c r="D23" s="77">
        <v>61</v>
      </c>
      <c r="E23" s="75" t="b">
        <f t="shared" si="6"/>
        <v>1</v>
      </c>
      <c r="F23" s="75" t="str">
        <f t="shared" si="7"/>
        <v>Yes</v>
      </c>
      <c r="G23" s="75"/>
      <c r="H23" s="75" t="b">
        <f t="shared" si="8"/>
        <v>1</v>
      </c>
      <c r="I23" s="75" t="b">
        <f t="shared" si="9"/>
        <v>1</v>
      </c>
      <c r="J23" s="75">
        <f t="shared" si="10"/>
        <v>2</v>
      </c>
      <c r="K23" s="75" t="b">
        <f t="shared" si="11"/>
        <v>1</v>
      </c>
    </row>
    <row r="24" spans="1:11" x14ac:dyDescent="0.25">
      <c r="A24" s="75"/>
      <c r="B24" s="77" t="s">
        <v>119</v>
      </c>
      <c r="C24" s="77">
        <v>7</v>
      </c>
      <c r="D24" s="77">
        <v>28</v>
      </c>
      <c r="E24" s="75" t="b">
        <f t="shared" si="6"/>
        <v>0</v>
      </c>
      <c r="F24" s="75" t="str">
        <f t="shared" si="7"/>
        <v>No</v>
      </c>
      <c r="G24" s="75"/>
      <c r="H24" s="75" t="b">
        <f t="shared" si="8"/>
        <v>0</v>
      </c>
      <c r="I24" s="75" t="b">
        <f t="shared" si="9"/>
        <v>0</v>
      </c>
      <c r="J24" s="75">
        <f t="shared" si="10"/>
        <v>0</v>
      </c>
      <c r="K24" s="75" t="b">
        <f t="shared" si="11"/>
        <v>0</v>
      </c>
    </row>
    <row r="25" spans="1:11" x14ac:dyDescent="0.25">
      <c r="A25" s="75"/>
      <c r="B25" s="77" t="s">
        <v>120</v>
      </c>
      <c r="C25" s="77">
        <v>11</v>
      </c>
      <c r="D25" s="77">
        <v>42</v>
      </c>
      <c r="E25" s="75" t="b">
        <f t="shared" si="6"/>
        <v>1</v>
      </c>
      <c r="F25" s="75" t="str">
        <f t="shared" si="7"/>
        <v>Yes</v>
      </c>
      <c r="G25" s="75"/>
      <c r="H25" s="75" t="b">
        <f t="shared" si="8"/>
        <v>1</v>
      </c>
      <c r="I25" s="75" t="b">
        <f t="shared" si="9"/>
        <v>0</v>
      </c>
      <c r="J25" s="75">
        <f t="shared" si="10"/>
        <v>1</v>
      </c>
      <c r="K25" s="75" t="b">
        <f t="shared" si="11"/>
        <v>1</v>
      </c>
    </row>
    <row r="26" spans="1:11" x14ac:dyDescent="0.25">
      <c r="A26" s="75"/>
      <c r="B26" s="77" t="s">
        <v>121</v>
      </c>
      <c r="C26" s="77">
        <v>3</v>
      </c>
      <c r="D26" s="77">
        <v>25</v>
      </c>
      <c r="E26" s="75" t="b">
        <f t="shared" si="6"/>
        <v>0</v>
      </c>
      <c r="F26" s="75" t="str">
        <f t="shared" si="7"/>
        <v>No</v>
      </c>
      <c r="G26" s="75"/>
      <c r="H26" s="75" t="b">
        <f t="shared" si="8"/>
        <v>0</v>
      </c>
      <c r="I26" s="75" t="b">
        <f t="shared" si="9"/>
        <v>0</v>
      </c>
      <c r="J26" s="75">
        <f t="shared" si="10"/>
        <v>0</v>
      </c>
      <c r="K26" s="75" t="b">
        <f t="shared" si="11"/>
        <v>0</v>
      </c>
    </row>
    <row r="27" spans="1:11" x14ac:dyDescent="0.25">
      <c r="A27" s="75"/>
      <c r="B27" s="77" t="s">
        <v>122</v>
      </c>
      <c r="C27" s="77">
        <v>15</v>
      </c>
      <c r="D27" s="77">
        <v>67</v>
      </c>
      <c r="E27" s="75" t="b">
        <f t="shared" si="6"/>
        <v>1</v>
      </c>
      <c r="F27" s="75" t="str">
        <f t="shared" si="7"/>
        <v>Yes</v>
      </c>
      <c r="G27" s="75"/>
      <c r="H27" s="75" t="b">
        <f t="shared" si="8"/>
        <v>1</v>
      </c>
      <c r="I27" s="75" t="b">
        <f t="shared" si="9"/>
        <v>1</v>
      </c>
      <c r="J27" s="75">
        <f t="shared" si="10"/>
        <v>2</v>
      </c>
      <c r="K27" s="75" t="b">
        <f t="shared" si="11"/>
        <v>1</v>
      </c>
    </row>
    <row r="28" spans="1:11" x14ac:dyDescent="0.25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75"/>
    </row>
    <row r="29" spans="1:11" x14ac:dyDescent="0.25">
      <c r="A29" s="75"/>
      <c r="B29" s="75"/>
      <c r="C29" s="75"/>
      <c r="D29" s="75"/>
      <c r="E29" s="75"/>
      <c r="F29" s="75"/>
      <c r="G29" s="75"/>
      <c r="H29" s="77"/>
      <c r="I29" s="75"/>
      <c r="J29" s="75"/>
      <c r="K29" s="75"/>
    </row>
  </sheetData>
  <mergeCells count="2">
    <mergeCell ref="H3:I3"/>
    <mergeCell ref="H19:I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1174-D7D8-4914-BAA2-29DBE2EBF1EC}">
  <dimension ref="A1:I35"/>
  <sheetViews>
    <sheetView topLeftCell="A10" workbookViewId="0">
      <selection activeCell="E18" sqref="E18"/>
    </sheetView>
  </sheetViews>
  <sheetFormatPr baseColWidth="10" defaultRowHeight="15" x14ac:dyDescent="0.25"/>
  <sheetData>
    <row r="1" spans="1:6" x14ac:dyDescent="0.25">
      <c r="A1" s="80" t="s">
        <v>11</v>
      </c>
      <c r="B1" s="80" t="s">
        <v>153</v>
      </c>
      <c r="C1" s="79"/>
      <c r="D1" s="79"/>
      <c r="E1" s="79"/>
    </row>
    <row r="2" spans="1:6" ht="15.75" thickBot="1" x14ac:dyDescent="0.3">
      <c r="A2" s="81" t="s">
        <v>154</v>
      </c>
      <c r="B2" s="81">
        <v>7</v>
      </c>
      <c r="C2" s="79"/>
      <c r="D2" s="79"/>
      <c r="E2" s="79"/>
    </row>
    <row r="3" spans="1:6" x14ac:dyDescent="0.25">
      <c r="A3" s="81" t="s">
        <v>155</v>
      </c>
      <c r="B3" s="81">
        <v>9</v>
      </c>
      <c r="C3" s="79"/>
      <c r="D3" s="74" t="s">
        <v>156</v>
      </c>
      <c r="E3" s="86"/>
    </row>
    <row r="4" spans="1:6" x14ac:dyDescent="0.25">
      <c r="A4" s="81" t="s">
        <v>157</v>
      </c>
      <c r="B4" s="81">
        <v>8</v>
      </c>
      <c r="C4" s="79"/>
      <c r="D4" s="82" t="s">
        <v>158</v>
      </c>
      <c r="E4" s="84" t="s">
        <v>47</v>
      </c>
    </row>
    <row r="5" spans="1:6" ht="15.75" thickBot="1" x14ac:dyDescent="0.3">
      <c r="A5" s="81" t="s">
        <v>159</v>
      </c>
      <c r="B5" s="81">
        <v>2</v>
      </c>
      <c r="C5" s="79"/>
      <c r="D5" s="83" t="s">
        <v>160</v>
      </c>
      <c r="E5" s="85" t="str">
        <f>_xlfn.XLOOKUP(dwarfname,A2:A9,B2:B9,"Not found",0)</f>
        <v>Not found</v>
      </c>
    </row>
    <row r="6" spans="1:6" x14ac:dyDescent="0.25">
      <c r="A6" s="81" t="s">
        <v>161</v>
      </c>
      <c r="B6" s="81">
        <v>4</v>
      </c>
      <c r="C6" s="79"/>
      <c r="D6" s="79"/>
      <c r="E6" s="79"/>
    </row>
    <row r="7" spans="1:6" x14ac:dyDescent="0.25">
      <c r="A7" s="81" t="s">
        <v>162</v>
      </c>
      <c r="B7" s="81">
        <v>8</v>
      </c>
      <c r="C7" s="79"/>
      <c r="D7" s="79"/>
      <c r="E7" s="79"/>
    </row>
    <row r="8" spans="1:6" x14ac:dyDescent="0.25">
      <c r="A8" s="81" t="s">
        <v>163</v>
      </c>
      <c r="B8" s="81">
        <v>6</v>
      </c>
      <c r="C8" s="79"/>
      <c r="D8" s="79"/>
      <c r="E8" s="79"/>
    </row>
    <row r="9" spans="1:6" x14ac:dyDescent="0.25">
      <c r="A9" s="81" t="s">
        <v>164</v>
      </c>
      <c r="B9" s="81">
        <v>10</v>
      </c>
      <c r="C9" s="79"/>
      <c r="D9" s="79"/>
      <c r="E9" s="79"/>
    </row>
    <row r="12" spans="1:6" ht="30" x14ac:dyDescent="0.25">
      <c r="A12" s="92" t="s">
        <v>165</v>
      </c>
      <c r="B12" s="92" t="s">
        <v>166</v>
      </c>
      <c r="C12" s="93" t="s">
        <v>167</v>
      </c>
      <c r="D12" s="87"/>
      <c r="E12" s="87"/>
      <c r="F12" s="87"/>
    </row>
    <row r="13" spans="1:6" ht="15.75" thickBot="1" x14ac:dyDescent="0.3">
      <c r="A13" s="88" t="s">
        <v>168</v>
      </c>
      <c r="B13" s="94">
        <v>3.22</v>
      </c>
      <c r="C13" s="94">
        <v>328.4</v>
      </c>
      <c r="D13" s="87"/>
      <c r="E13" s="87"/>
      <c r="F13" s="87"/>
    </row>
    <row r="14" spans="1:6" x14ac:dyDescent="0.25">
      <c r="A14" s="88" t="s">
        <v>169</v>
      </c>
      <c r="B14" s="94">
        <v>0.09</v>
      </c>
      <c r="C14" s="94">
        <v>21.484999999999999</v>
      </c>
      <c r="D14" s="87"/>
      <c r="E14" s="95" t="s">
        <v>170</v>
      </c>
      <c r="F14" s="91" t="s">
        <v>171</v>
      </c>
    </row>
    <row r="15" spans="1:6" x14ac:dyDescent="0.25">
      <c r="A15" s="88" t="s">
        <v>172</v>
      </c>
      <c r="B15" s="94">
        <v>12.4</v>
      </c>
      <c r="C15" s="94">
        <v>2283.3000000000002</v>
      </c>
      <c r="D15" s="87"/>
      <c r="E15" s="89" t="s">
        <v>173</v>
      </c>
      <c r="F15" s="96">
        <f>_xlfn.XLOOKUP(name_mammal,Mammal,M,"Not Found",0)</f>
        <v>453</v>
      </c>
    </row>
    <row r="16" spans="1:6" ht="15.75" thickBot="1" x14ac:dyDescent="0.3">
      <c r="A16" s="88" t="s">
        <v>174</v>
      </c>
      <c r="B16" s="94">
        <v>0.43</v>
      </c>
      <c r="C16" s="94">
        <v>54.44</v>
      </c>
      <c r="D16" s="87"/>
      <c r="E16" s="90" t="s">
        <v>175</v>
      </c>
      <c r="F16" s="97">
        <f>_xlfn.XLOOKUP(name_mammal,Mammal,VO_2,"Not Found",0)</f>
        <v>56005</v>
      </c>
    </row>
    <row r="17" spans="1:9" x14ac:dyDescent="0.25">
      <c r="A17" s="88" t="s">
        <v>176</v>
      </c>
      <c r="B17" s="94">
        <v>0.58399999999999996</v>
      </c>
      <c r="C17" s="94">
        <v>32.590000000000003</v>
      </c>
      <c r="D17" s="87"/>
      <c r="E17" s="87"/>
      <c r="F17" s="87"/>
    </row>
    <row r="18" spans="1:9" x14ac:dyDescent="0.25">
      <c r="A18" s="88" t="s">
        <v>171</v>
      </c>
      <c r="B18" s="94">
        <v>453</v>
      </c>
      <c r="C18" s="94">
        <v>56005</v>
      </c>
      <c r="D18" s="87"/>
      <c r="E18" s="87"/>
      <c r="F18" s="87"/>
    </row>
    <row r="19" spans="1:9" x14ac:dyDescent="0.25">
      <c r="A19" s="88" t="s">
        <v>2</v>
      </c>
      <c r="B19" s="94">
        <v>30</v>
      </c>
      <c r="C19" s="94">
        <v>1800</v>
      </c>
      <c r="D19" s="87"/>
      <c r="E19" s="87"/>
      <c r="F19" s="87"/>
    </row>
    <row r="20" spans="1:9" x14ac:dyDescent="0.25">
      <c r="A20" s="88" t="s">
        <v>177</v>
      </c>
      <c r="B20" s="94">
        <v>2.5999999999999999E-2</v>
      </c>
      <c r="C20" s="94">
        <v>3.8839999999999999</v>
      </c>
      <c r="D20" s="87"/>
      <c r="E20" s="87"/>
      <c r="F20" s="87"/>
    </row>
    <row r="21" spans="1:9" x14ac:dyDescent="0.25">
      <c r="A21" s="88" t="s">
        <v>178</v>
      </c>
      <c r="B21" s="94">
        <v>3</v>
      </c>
      <c r="C21" s="94">
        <v>291.60000000000002</v>
      </c>
      <c r="D21" s="87"/>
      <c r="E21" s="87"/>
      <c r="F21" s="87"/>
    </row>
    <row r="22" spans="1:9" x14ac:dyDescent="0.25">
      <c r="A22" s="88" t="s">
        <v>179</v>
      </c>
      <c r="B22" s="94">
        <v>110</v>
      </c>
      <c r="C22" s="94">
        <v>5172</v>
      </c>
      <c r="D22" s="87"/>
      <c r="E22" s="87"/>
      <c r="F22" s="87"/>
    </row>
    <row r="23" spans="1:9" x14ac:dyDescent="0.25">
      <c r="A23" s="88" t="s">
        <v>180</v>
      </c>
      <c r="B23" s="94">
        <v>27.6</v>
      </c>
      <c r="C23" s="94">
        <v>4310</v>
      </c>
      <c r="D23" s="87"/>
      <c r="E23" s="87"/>
      <c r="F23" s="87"/>
    </row>
    <row r="24" spans="1:9" x14ac:dyDescent="0.25">
      <c r="A24" s="88" t="s">
        <v>181</v>
      </c>
      <c r="B24" s="94">
        <v>0.02</v>
      </c>
      <c r="C24" s="94">
        <v>5.28</v>
      </c>
      <c r="D24" s="87"/>
      <c r="E24" s="87"/>
      <c r="F24" s="87"/>
    </row>
    <row r="27" spans="1:9" x14ac:dyDescent="0.25">
      <c r="A27" s="75"/>
      <c r="B27" s="75"/>
      <c r="C27" s="75"/>
      <c r="D27" s="75"/>
      <c r="E27" s="75"/>
      <c r="F27" s="75"/>
      <c r="G27" s="75"/>
      <c r="H27" s="75"/>
      <c r="I27" s="75"/>
    </row>
    <row r="28" spans="1:9" ht="30" x14ac:dyDescent="0.25">
      <c r="A28" s="75"/>
      <c r="B28" s="105" t="s">
        <v>182</v>
      </c>
      <c r="C28" s="105" t="s">
        <v>183</v>
      </c>
      <c r="D28" s="98"/>
      <c r="E28" s="98"/>
      <c r="F28" s="98"/>
      <c r="G28" s="105" t="s">
        <v>184</v>
      </c>
      <c r="H28" s="105" t="s">
        <v>185</v>
      </c>
      <c r="I28" s="98"/>
    </row>
    <row r="29" spans="1:9" x14ac:dyDescent="0.25">
      <c r="A29" s="75"/>
      <c r="B29" s="104">
        <v>0</v>
      </c>
      <c r="C29" s="104" t="s">
        <v>186</v>
      </c>
      <c r="D29" s="98"/>
      <c r="E29" s="98"/>
      <c r="F29" s="98"/>
      <c r="G29" s="98">
        <v>50</v>
      </c>
      <c r="H29" s="98" t="s">
        <v>187</v>
      </c>
      <c r="I29" s="98"/>
    </row>
    <row r="30" spans="1:9" x14ac:dyDescent="0.25">
      <c r="A30" s="75"/>
      <c r="B30" s="104">
        <v>50</v>
      </c>
      <c r="C30" s="104" t="s">
        <v>188</v>
      </c>
      <c r="D30" s="98"/>
      <c r="E30" s="98"/>
      <c r="F30" s="98"/>
      <c r="G30" s="98">
        <v>100</v>
      </c>
      <c r="H30" s="98" t="s">
        <v>189</v>
      </c>
      <c r="I30" s="98"/>
    </row>
    <row r="31" spans="1:9" x14ac:dyDescent="0.25">
      <c r="A31" s="75"/>
      <c r="B31" s="104">
        <v>100</v>
      </c>
      <c r="C31" s="104" t="s">
        <v>190</v>
      </c>
      <c r="D31" s="98"/>
      <c r="E31" s="98"/>
      <c r="F31" s="98"/>
      <c r="G31" s="98">
        <v>200</v>
      </c>
      <c r="H31" s="98" t="s">
        <v>191</v>
      </c>
      <c r="I31" s="98"/>
    </row>
    <row r="32" spans="1:9" x14ac:dyDescent="0.25">
      <c r="A32" s="75"/>
      <c r="B32" s="104">
        <v>150</v>
      </c>
      <c r="C32" s="104" t="s">
        <v>192</v>
      </c>
      <c r="D32" s="98"/>
      <c r="E32" s="98"/>
      <c r="F32" s="98"/>
      <c r="G32" s="98">
        <v>500</v>
      </c>
      <c r="H32" s="98" t="s">
        <v>193</v>
      </c>
      <c r="I32" s="98"/>
    </row>
    <row r="33" spans="1:9" ht="15.75" thickBot="1" x14ac:dyDescent="0.3">
      <c r="A33" s="75"/>
      <c r="B33" s="98"/>
      <c r="C33" s="98"/>
      <c r="D33" s="98"/>
      <c r="E33" s="98"/>
      <c r="F33" s="98"/>
      <c r="G33" s="98"/>
      <c r="H33" s="98"/>
      <c r="I33" s="98"/>
    </row>
    <row r="34" spans="1:9" x14ac:dyDescent="0.25">
      <c r="A34" s="75"/>
      <c r="B34" s="103"/>
      <c r="C34" s="102" t="s">
        <v>194</v>
      </c>
      <c r="D34" s="107">
        <v>45</v>
      </c>
      <c r="E34" s="98"/>
      <c r="F34" s="98"/>
      <c r="G34" s="103"/>
      <c r="H34" s="102" t="s">
        <v>195</v>
      </c>
      <c r="I34" s="107">
        <v>67</v>
      </c>
    </row>
    <row r="35" spans="1:9" ht="15.75" thickBot="1" x14ac:dyDescent="0.3">
      <c r="A35" s="75"/>
      <c r="B35" s="100"/>
      <c r="C35" s="101" t="s">
        <v>196</v>
      </c>
      <c r="D35" s="106" t="str">
        <f>_xlfn.XLOOKUP(D34,INDEX,RISKL,,-1)</f>
        <v>Low</v>
      </c>
      <c r="E35" s="98"/>
      <c r="F35" s="98"/>
      <c r="G35" s="100"/>
      <c r="H35" s="99" t="s">
        <v>197</v>
      </c>
      <c r="I35" s="106" t="str">
        <f>_xlfn.XLOOKUP(I34,cap,VEN,,1)</f>
        <v>Ballroom</v>
      </c>
    </row>
  </sheetData>
  <mergeCells count="1">
    <mergeCell ref="D3:E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64B7-E96B-434E-A22C-782A6574FCA9}">
  <dimension ref="A1:I14"/>
  <sheetViews>
    <sheetView workbookViewId="0">
      <selection activeCell="B6" sqref="B6"/>
    </sheetView>
  </sheetViews>
  <sheetFormatPr baseColWidth="10" defaultRowHeight="15" x14ac:dyDescent="0.25"/>
  <sheetData>
    <row r="1" spans="1:9" x14ac:dyDescent="0.25">
      <c r="A1" s="111" t="s">
        <v>11</v>
      </c>
      <c r="B1" s="111" t="s">
        <v>153</v>
      </c>
      <c r="C1" s="108"/>
      <c r="D1" s="108"/>
      <c r="E1" s="109"/>
      <c r="F1" s="109" t="s">
        <v>198</v>
      </c>
      <c r="G1" s="109" t="s">
        <v>199</v>
      </c>
      <c r="H1" s="109" t="s">
        <v>200</v>
      </c>
    </row>
    <row r="2" spans="1:9" x14ac:dyDescent="0.25">
      <c r="A2" s="110" t="s">
        <v>201</v>
      </c>
      <c r="B2" s="110">
        <v>85</v>
      </c>
      <c r="C2" s="108"/>
      <c r="D2" s="108"/>
      <c r="E2" s="110" t="s">
        <v>201</v>
      </c>
      <c r="F2" s="112">
        <v>1000</v>
      </c>
      <c r="G2" s="112">
        <v>1200</v>
      </c>
      <c r="H2" s="112">
        <v>1400</v>
      </c>
    </row>
    <row r="3" spans="1:9" x14ac:dyDescent="0.25">
      <c r="A3" s="110" t="s">
        <v>202</v>
      </c>
      <c r="B3" s="110">
        <v>92</v>
      </c>
      <c r="C3" s="108"/>
      <c r="D3" s="108"/>
      <c r="E3" s="110" t="s">
        <v>202</v>
      </c>
      <c r="F3" s="112">
        <v>800</v>
      </c>
      <c r="G3" s="112">
        <v>1500</v>
      </c>
      <c r="H3" s="112">
        <v>900</v>
      </c>
    </row>
    <row r="4" spans="1:9" x14ac:dyDescent="0.25">
      <c r="A4" s="110" t="s">
        <v>203</v>
      </c>
      <c r="B4" s="110">
        <v>78</v>
      </c>
      <c r="C4" s="108"/>
      <c r="D4" s="108"/>
      <c r="E4" s="110" t="s">
        <v>203</v>
      </c>
      <c r="F4" s="112">
        <v>1100</v>
      </c>
      <c r="G4" s="112">
        <v>900</v>
      </c>
      <c r="H4" s="112">
        <v>1300</v>
      </c>
    </row>
    <row r="6" spans="1:9" x14ac:dyDescent="0.25">
      <c r="A6" s="110" t="s">
        <v>204</v>
      </c>
      <c r="B6" s="108">
        <v>2</v>
      </c>
      <c r="C6" s="108"/>
      <c r="D6" s="108"/>
      <c r="E6" s="108" t="s">
        <v>33</v>
      </c>
      <c r="F6" s="113">
        <v>2</v>
      </c>
      <c r="G6" s="108"/>
      <c r="H6" s="108"/>
    </row>
    <row r="7" spans="1:9" x14ac:dyDescent="0.25">
      <c r="A7" s="110" t="s">
        <v>160</v>
      </c>
      <c r="B7" s="108" cm="1">
        <f t="array" ref="B7">INDEX(B2:B4,idx)</f>
        <v>92</v>
      </c>
      <c r="C7" s="108"/>
      <c r="D7" s="108"/>
      <c r="E7" s="110" t="s">
        <v>34</v>
      </c>
      <c r="F7" s="113">
        <v>3</v>
      </c>
      <c r="G7" s="108"/>
      <c r="H7" s="108"/>
    </row>
    <row r="8" spans="1:9" x14ac:dyDescent="0.25">
      <c r="A8" s="108"/>
      <c r="B8" s="108"/>
      <c r="C8" s="108"/>
      <c r="D8" s="108"/>
      <c r="E8" s="110" t="s">
        <v>205</v>
      </c>
      <c r="F8" s="114" cm="1">
        <f t="array" ref="F8">INDEX(F2:H4,row,col)</f>
        <v>900</v>
      </c>
      <c r="G8" s="108"/>
      <c r="H8" s="108"/>
    </row>
    <row r="10" spans="1:9" x14ac:dyDescent="0.25">
      <c r="A10" s="108"/>
      <c r="B10" s="108"/>
      <c r="C10" s="108"/>
      <c r="D10" s="108"/>
      <c r="E10" s="108" t="s">
        <v>202</v>
      </c>
      <c r="F10" s="114" cm="1">
        <f t="array" ref="F10:H10">INDEX(F2:H4,row,0)</f>
        <v>800</v>
      </c>
      <c r="G10" s="114">
        <v>1500</v>
      </c>
      <c r="H10" s="114">
        <v>900</v>
      </c>
    </row>
    <row r="12" spans="1:9" x14ac:dyDescent="0.25">
      <c r="A12" s="108"/>
      <c r="B12" s="108"/>
      <c r="C12" s="108"/>
      <c r="D12" s="108"/>
      <c r="E12" s="108" t="s">
        <v>200</v>
      </c>
      <c r="F12" s="108" cm="1">
        <f t="array" ref="F12:F14">INDEX(F2:H4,0,col)</f>
        <v>1400</v>
      </c>
      <c r="G12" s="108"/>
      <c r="H12" s="108" cm="1">
        <f t="array" ref="H12:I13">INDEX(F2:H4,{1;3},{2,3})</f>
        <v>1200</v>
      </c>
      <c r="I12">
        <v>1400</v>
      </c>
    </row>
    <row r="13" spans="1:9" x14ac:dyDescent="0.25">
      <c r="F13">
        <v>900</v>
      </c>
      <c r="H13">
        <v>900</v>
      </c>
      <c r="I13">
        <v>1300</v>
      </c>
    </row>
    <row r="14" spans="1:9" x14ac:dyDescent="0.25">
      <c r="F14">
        <v>1300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4DCB-60B7-454D-AEEF-C825C739FBDD}">
  <dimension ref="A1:G41"/>
  <sheetViews>
    <sheetView topLeftCell="A23" workbookViewId="0">
      <selection activeCell="D38" sqref="D38"/>
    </sheetView>
  </sheetViews>
  <sheetFormatPr baseColWidth="10" defaultRowHeight="15" x14ac:dyDescent="0.25"/>
  <cols>
    <col min="7" max="7" width="11.85546875" bestFit="1" customWidth="1"/>
  </cols>
  <sheetData>
    <row r="1" spans="1:7" x14ac:dyDescent="0.25">
      <c r="A1" s="117" t="s">
        <v>206</v>
      </c>
      <c r="B1" s="115"/>
      <c r="C1" s="115"/>
      <c r="D1" s="115"/>
      <c r="E1" s="115"/>
      <c r="F1" s="115"/>
    </row>
    <row r="4" spans="1:7" x14ac:dyDescent="0.25">
      <c r="A4" s="115"/>
      <c r="B4" s="117" t="s">
        <v>207</v>
      </c>
      <c r="C4" s="117" t="s">
        <v>208</v>
      </c>
      <c r="D4" s="115"/>
      <c r="E4" s="115"/>
      <c r="F4" s="115"/>
    </row>
    <row r="5" spans="1:7" x14ac:dyDescent="0.25">
      <c r="A5" s="115"/>
      <c r="B5" s="115" t="s">
        <v>115</v>
      </c>
      <c r="C5" s="118">
        <v>500</v>
      </c>
      <c r="D5" s="115"/>
      <c r="E5" s="115" t="s">
        <v>209</v>
      </c>
      <c r="F5" s="115" t="s">
        <v>212</v>
      </c>
    </row>
    <row r="6" spans="1:7" x14ac:dyDescent="0.25">
      <c r="A6" s="115"/>
      <c r="B6" s="115" t="s">
        <v>210</v>
      </c>
      <c r="C6" s="118">
        <v>750</v>
      </c>
      <c r="D6" s="115"/>
      <c r="E6" s="116" t="s">
        <v>204</v>
      </c>
      <c r="F6" s="115">
        <f>MATCH(F5,B5:B8,0)</f>
        <v>4</v>
      </c>
    </row>
    <row r="7" spans="1:7" x14ac:dyDescent="0.25">
      <c r="A7" s="115"/>
      <c r="B7" s="115" t="s">
        <v>211</v>
      </c>
      <c r="C7" s="118">
        <v>620</v>
      </c>
      <c r="D7" s="115"/>
      <c r="E7" s="115"/>
      <c r="F7" s="115">
        <f>_xlfn.XMATCH(F5,B5:B8)</f>
        <v>4</v>
      </c>
    </row>
    <row r="8" spans="1:7" x14ac:dyDescent="0.25">
      <c r="A8" s="115"/>
      <c r="B8" s="115" t="s">
        <v>212</v>
      </c>
      <c r="C8" s="118">
        <v>880</v>
      </c>
      <c r="D8" s="115"/>
      <c r="E8" s="115"/>
      <c r="F8" s="115"/>
    </row>
    <row r="13" spans="1:7" x14ac:dyDescent="0.25">
      <c r="A13" s="126" t="s">
        <v>213</v>
      </c>
      <c r="B13" s="119"/>
      <c r="C13" s="119"/>
      <c r="D13" s="119"/>
      <c r="E13" s="119"/>
      <c r="F13" s="119"/>
      <c r="G13" s="119"/>
    </row>
    <row r="14" spans="1:7" ht="15.75" thickBot="1" x14ac:dyDescent="0.3">
      <c r="A14" s="119"/>
      <c r="B14" s="119"/>
      <c r="C14" s="119"/>
      <c r="D14" s="119"/>
      <c r="E14" s="119"/>
      <c r="F14" s="119"/>
      <c r="G14" s="119"/>
    </row>
    <row r="15" spans="1:7" ht="30" x14ac:dyDescent="0.25">
      <c r="A15" s="119"/>
      <c r="B15" s="120" t="s">
        <v>214</v>
      </c>
      <c r="C15" s="120" t="s">
        <v>215</v>
      </c>
      <c r="D15" s="119"/>
      <c r="E15" s="127"/>
      <c r="F15" s="128" t="s">
        <v>216</v>
      </c>
      <c r="G15" s="129" t="s">
        <v>217</v>
      </c>
    </row>
    <row r="16" spans="1:7" x14ac:dyDescent="0.25">
      <c r="A16" s="119"/>
      <c r="B16" s="121" t="s">
        <v>201</v>
      </c>
      <c r="C16" s="123">
        <v>45662</v>
      </c>
      <c r="D16" s="119"/>
      <c r="E16" s="130"/>
      <c r="F16" s="124" t="s">
        <v>204</v>
      </c>
      <c r="G16" s="131">
        <f>MATCH(costumer,costumers,1)</f>
        <v>8</v>
      </c>
    </row>
    <row r="17" spans="1:7" ht="15.75" thickBot="1" x14ac:dyDescent="0.3">
      <c r="A17" s="119"/>
      <c r="B17" s="121" t="s">
        <v>217</v>
      </c>
      <c r="C17" s="123">
        <v>45665</v>
      </c>
      <c r="D17" s="119"/>
      <c r="E17" s="132"/>
      <c r="F17" s="133" t="s">
        <v>218</v>
      </c>
      <c r="G17" s="134" cm="1">
        <f t="array" ref="G17">INDEX(dates,iddx)</f>
        <v>45682</v>
      </c>
    </row>
    <row r="18" spans="1:7" x14ac:dyDescent="0.25">
      <c r="A18" s="119"/>
      <c r="B18" s="121" t="s">
        <v>201</v>
      </c>
      <c r="C18" s="123">
        <v>45669</v>
      </c>
      <c r="D18" s="119"/>
      <c r="E18" s="119"/>
      <c r="F18" s="119"/>
      <c r="G18" s="119"/>
    </row>
    <row r="19" spans="1:7" x14ac:dyDescent="0.25">
      <c r="A19" s="119"/>
      <c r="B19" s="121" t="s">
        <v>219</v>
      </c>
      <c r="C19" s="123">
        <v>45670</v>
      </c>
      <c r="D19" s="119"/>
      <c r="E19" s="119"/>
      <c r="F19" s="125"/>
      <c r="G19" s="119"/>
    </row>
    <row r="20" spans="1:7" x14ac:dyDescent="0.25">
      <c r="A20" s="119"/>
      <c r="B20" s="121" t="s">
        <v>201</v>
      </c>
      <c r="C20" s="123">
        <v>45677</v>
      </c>
      <c r="D20" s="119"/>
      <c r="E20" s="119"/>
      <c r="F20" s="119"/>
      <c r="G20" s="119"/>
    </row>
    <row r="21" spans="1:7" x14ac:dyDescent="0.25">
      <c r="A21" s="119"/>
      <c r="B21" s="119" t="s">
        <v>220</v>
      </c>
      <c r="C21" s="122">
        <v>45679</v>
      </c>
      <c r="D21" s="119"/>
      <c r="E21" s="119"/>
      <c r="F21" s="119"/>
      <c r="G21" s="119"/>
    </row>
    <row r="22" spans="1:7" x14ac:dyDescent="0.25">
      <c r="A22" s="119"/>
      <c r="B22" s="119" t="s">
        <v>221</v>
      </c>
      <c r="C22" s="122">
        <v>45681</v>
      </c>
      <c r="D22" s="119"/>
      <c r="E22" s="119"/>
      <c r="F22" s="119"/>
      <c r="G22" s="119"/>
    </row>
    <row r="23" spans="1:7" x14ac:dyDescent="0.25">
      <c r="A23" s="119"/>
      <c r="B23" s="119" t="s">
        <v>217</v>
      </c>
      <c r="C23" s="122">
        <v>45682</v>
      </c>
      <c r="D23" s="119"/>
      <c r="E23" s="119"/>
      <c r="F23" s="119"/>
      <c r="G23" s="119"/>
    </row>
    <row r="24" spans="1:7" x14ac:dyDescent="0.25">
      <c r="A24" s="119"/>
      <c r="B24" s="119" t="s">
        <v>201</v>
      </c>
      <c r="C24" s="122">
        <v>45684</v>
      </c>
      <c r="D24" s="119"/>
      <c r="E24" s="119"/>
      <c r="F24" s="119"/>
      <c r="G24" s="119"/>
    </row>
    <row r="25" spans="1:7" x14ac:dyDescent="0.25">
      <c r="A25" s="119"/>
      <c r="B25" s="119" t="s">
        <v>219</v>
      </c>
      <c r="C25" s="122">
        <v>45686</v>
      </c>
      <c r="D25" s="119"/>
      <c r="E25" s="119"/>
      <c r="F25" s="119"/>
      <c r="G25" s="119"/>
    </row>
    <row r="29" spans="1:7" x14ac:dyDescent="0.25">
      <c r="B29" s="138" t="s">
        <v>222</v>
      </c>
      <c r="C29" s="138" t="s">
        <v>198</v>
      </c>
      <c r="D29" s="138" t="s">
        <v>199</v>
      </c>
      <c r="E29" s="138" t="s">
        <v>200</v>
      </c>
    </row>
    <row r="30" spans="1:7" x14ac:dyDescent="0.25">
      <c r="B30" s="136" t="s">
        <v>223</v>
      </c>
      <c r="C30" s="139">
        <v>10000</v>
      </c>
      <c r="D30" s="139">
        <v>15000</v>
      </c>
      <c r="E30" s="139">
        <v>20000</v>
      </c>
    </row>
    <row r="31" spans="1:7" x14ac:dyDescent="0.25">
      <c r="B31" s="136" t="s">
        <v>224</v>
      </c>
      <c r="C31" s="139">
        <v>12000</v>
      </c>
      <c r="D31" s="139">
        <v>18000</v>
      </c>
      <c r="E31" s="139">
        <v>24000</v>
      </c>
    </row>
    <row r="32" spans="1:7" x14ac:dyDescent="0.25">
      <c r="B32" s="136" t="s">
        <v>225</v>
      </c>
      <c r="C32" s="139">
        <v>9000</v>
      </c>
      <c r="D32" s="139">
        <v>13000</v>
      </c>
      <c r="E32" s="139">
        <v>17000</v>
      </c>
    </row>
    <row r="33" spans="2:5" x14ac:dyDescent="0.25">
      <c r="B33" s="136" t="s">
        <v>226</v>
      </c>
      <c r="C33" s="139">
        <v>11000</v>
      </c>
      <c r="D33" s="139">
        <v>16000</v>
      </c>
      <c r="E33" s="139">
        <v>21000</v>
      </c>
    </row>
    <row r="35" spans="2:5" ht="15.75" thickBot="1" x14ac:dyDescent="0.3">
      <c r="B35" s="135"/>
      <c r="C35" s="135"/>
      <c r="D35" s="135"/>
      <c r="E35" s="135"/>
    </row>
    <row r="36" spans="2:5" x14ac:dyDescent="0.25">
      <c r="B36" s="135"/>
      <c r="C36" s="142" t="s">
        <v>227</v>
      </c>
      <c r="D36" s="140" t="s">
        <v>225</v>
      </c>
      <c r="E36" s="135"/>
    </row>
    <row r="37" spans="2:5" x14ac:dyDescent="0.25">
      <c r="B37" s="135"/>
      <c r="C37" s="143" t="s">
        <v>228</v>
      </c>
      <c r="D37" s="141" t="s">
        <v>199</v>
      </c>
      <c r="E37" s="135"/>
    </row>
    <row r="38" spans="2:5" ht="15.75" thickBot="1" x14ac:dyDescent="0.3">
      <c r="B38" s="135"/>
      <c r="C38" s="144" t="s">
        <v>205</v>
      </c>
      <c r="D38" s="145" cm="1">
        <f t="array" ref="D38">INDEX(C30:E33,D40,D41)</f>
        <v>13000</v>
      </c>
      <c r="E38" s="135"/>
    </row>
    <row r="40" spans="2:5" x14ac:dyDescent="0.25">
      <c r="B40" s="135"/>
      <c r="C40" s="137" t="s">
        <v>33</v>
      </c>
      <c r="D40" s="135">
        <f>_xlfn.XMATCH(region,regions)</f>
        <v>3</v>
      </c>
      <c r="E40" s="135"/>
    </row>
    <row r="41" spans="2:5" x14ac:dyDescent="0.25">
      <c r="B41" s="135"/>
      <c r="C41" s="137" t="s">
        <v>34</v>
      </c>
      <c r="D41" s="135">
        <f>_xlfn.XMATCH(quarter,quarters)</f>
        <v>2</v>
      </c>
      <c r="E41" s="1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D821-D933-4F47-B924-D8723498387E}">
  <dimension ref="C3:G13"/>
  <sheetViews>
    <sheetView workbookViewId="0">
      <selection activeCell="D4" sqref="D4"/>
    </sheetView>
  </sheetViews>
  <sheetFormatPr baseColWidth="10" defaultRowHeight="15" x14ac:dyDescent="0.25"/>
  <sheetData>
    <row r="3" spans="3:7" x14ac:dyDescent="0.25">
      <c r="C3">
        <f ca="1">RANDBETWEEN(1,100)</f>
        <v>59</v>
      </c>
      <c r="D3" s="75">
        <f t="shared" ref="D3:G8" ca="1" si="0">RANDBETWEEN(1,100)</f>
        <v>54</v>
      </c>
      <c r="E3" s="75">
        <f t="shared" ca="1" si="0"/>
        <v>59</v>
      </c>
      <c r="F3" s="75">
        <f t="shared" ca="1" si="0"/>
        <v>52</v>
      </c>
      <c r="G3" s="75">
        <f t="shared" ca="1" si="0"/>
        <v>16</v>
      </c>
    </row>
    <row r="4" spans="3:7" x14ac:dyDescent="0.25">
      <c r="C4" s="75">
        <f t="shared" ref="C4:C8" ca="1" si="1">RANDBETWEEN(1,100)</f>
        <v>79</v>
      </c>
      <c r="D4" s="75">
        <f t="shared" ca="1" si="0"/>
        <v>54</v>
      </c>
      <c r="E4" s="75">
        <f t="shared" ca="1" si="0"/>
        <v>65</v>
      </c>
      <c r="F4" s="75">
        <f t="shared" ca="1" si="0"/>
        <v>82</v>
      </c>
      <c r="G4" s="75">
        <f t="shared" ca="1" si="0"/>
        <v>52</v>
      </c>
    </row>
    <row r="5" spans="3:7" x14ac:dyDescent="0.25">
      <c r="C5" s="75">
        <f t="shared" ca="1" si="1"/>
        <v>23</v>
      </c>
      <c r="D5" s="75">
        <f t="shared" ca="1" si="0"/>
        <v>29</v>
      </c>
      <c r="E5" s="75">
        <f t="shared" ca="1" si="0"/>
        <v>63</v>
      </c>
      <c r="F5" s="75">
        <f t="shared" ca="1" si="0"/>
        <v>27</v>
      </c>
      <c r="G5" s="75">
        <f t="shared" ca="1" si="0"/>
        <v>26</v>
      </c>
    </row>
    <row r="6" spans="3:7" x14ac:dyDescent="0.25">
      <c r="C6" s="75">
        <f t="shared" ca="1" si="1"/>
        <v>67</v>
      </c>
      <c r="D6" s="75">
        <f t="shared" ca="1" si="0"/>
        <v>86</v>
      </c>
      <c r="E6" s="75">
        <f t="shared" ca="1" si="0"/>
        <v>91</v>
      </c>
      <c r="F6" s="75">
        <f t="shared" ca="1" si="0"/>
        <v>42</v>
      </c>
      <c r="G6" s="75">
        <f t="shared" ca="1" si="0"/>
        <v>50</v>
      </c>
    </row>
    <row r="7" spans="3:7" x14ac:dyDescent="0.25">
      <c r="C7" s="75">
        <f t="shared" ca="1" si="1"/>
        <v>53</v>
      </c>
      <c r="D7" s="75">
        <f t="shared" ca="1" si="0"/>
        <v>9</v>
      </c>
      <c r="E7" s="75">
        <f t="shared" ca="1" si="0"/>
        <v>32</v>
      </c>
      <c r="F7" s="75">
        <f t="shared" ca="1" si="0"/>
        <v>24</v>
      </c>
      <c r="G7" s="75">
        <f t="shared" ca="1" si="0"/>
        <v>91</v>
      </c>
    </row>
    <row r="8" spans="3:7" x14ac:dyDescent="0.25">
      <c r="C8" s="75">
        <f t="shared" ca="1" si="1"/>
        <v>21</v>
      </c>
      <c r="D8" s="75">
        <f t="shared" ca="1" si="0"/>
        <v>99</v>
      </c>
      <c r="E8" s="75">
        <f t="shared" ca="1" si="0"/>
        <v>21</v>
      </c>
      <c r="F8" s="75">
        <f t="shared" ca="1" si="0"/>
        <v>67</v>
      </c>
      <c r="G8" s="75">
        <f t="shared" ca="1" si="0"/>
        <v>94</v>
      </c>
    </row>
    <row r="10" spans="3:7" x14ac:dyDescent="0.25">
      <c r="C10" t="s">
        <v>229</v>
      </c>
      <c r="D10">
        <v>2</v>
      </c>
    </row>
    <row r="11" spans="3:7" x14ac:dyDescent="0.25">
      <c r="C11" t="s">
        <v>230</v>
      </c>
      <c r="D11">
        <v>2</v>
      </c>
      <c r="G11" s="2" cm="1">
        <f t="array" aca="1" ref="G11:G12" ca="1">OFFSET(C3,D10,D11,D12,D13)</f>
        <v>63</v>
      </c>
    </row>
    <row r="12" spans="3:7" x14ac:dyDescent="0.25">
      <c r="C12" t="s">
        <v>231</v>
      </c>
      <c r="D12">
        <v>2</v>
      </c>
      <c r="G12">
        <f ca="1"/>
        <v>91</v>
      </c>
    </row>
    <row r="13" spans="3:7" x14ac:dyDescent="0.25">
      <c r="C13" t="s">
        <v>232</v>
      </c>
      <c r="D1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CF29-EE7C-4950-91BA-C0DBFE0C7EF5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30</vt:i4>
      </vt:variant>
    </vt:vector>
  </HeadingPairs>
  <TitlesOfParts>
    <vt:vector size="43" baseType="lpstr">
      <vt:lpstr>Introduction</vt:lpstr>
      <vt:lpstr>Counting Basics</vt:lpstr>
      <vt:lpstr>CB - Examples</vt:lpstr>
      <vt:lpstr>Total, Aver, Max - Min</vt:lpstr>
      <vt:lpstr>Round</vt:lpstr>
      <vt:lpstr>Nexting</vt:lpstr>
      <vt:lpstr>IF - FIS</vt:lpstr>
      <vt:lpstr>AND - OR</vt:lpstr>
      <vt:lpstr>XLOOP</vt:lpstr>
      <vt:lpstr>INDEX</vt:lpstr>
      <vt:lpstr>MATCH</vt:lpstr>
      <vt:lpstr>OFFSET</vt:lpstr>
      <vt:lpstr>Hoja13</vt:lpstr>
      <vt:lpstr>adasd</vt:lpstr>
      <vt:lpstr>amount</vt:lpstr>
      <vt:lpstr>cap</vt:lpstr>
      <vt:lpstr>col</vt:lpstr>
      <vt:lpstr>colm</vt:lpstr>
      <vt:lpstr>costumer</vt:lpstr>
      <vt:lpstr>costumers</vt:lpstr>
      <vt:lpstr>dates</vt:lpstr>
      <vt:lpstr>disc</vt:lpstr>
      <vt:lpstr>discount</vt:lpstr>
      <vt:lpstr>dwarfname</vt:lpstr>
      <vt:lpstr>estate</vt:lpstr>
      <vt:lpstr>iddx</vt:lpstr>
      <vt:lpstr>idx</vt:lpstr>
      <vt:lpstr>INDEX</vt:lpstr>
      <vt:lpstr>ISX</vt:lpstr>
      <vt:lpstr>M</vt:lpstr>
      <vt:lpstr>Mammal</vt:lpstr>
      <vt:lpstr>name_mammal</vt:lpstr>
      <vt:lpstr>quarter</vt:lpstr>
      <vt:lpstr>quarters</vt:lpstr>
      <vt:lpstr>region</vt:lpstr>
      <vt:lpstr>regions</vt:lpstr>
      <vt:lpstr>RISKL</vt:lpstr>
      <vt:lpstr>row</vt:lpstr>
      <vt:lpstr>s</vt:lpstr>
      <vt:lpstr>sales</vt:lpstr>
      <vt:lpstr>Sellers</vt:lpstr>
      <vt:lpstr>VEN</vt:lpstr>
      <vt:lpstr>VO_2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josecotrinalejabo@gmail.com</dc:creator>
  <cp:lastModifiedBy>josecotrinalejabo@gmail.com</cp:lastModifiedBy>
  <dcterms:created xsi:type="dcterms:W3CDTF">2026-02-21T17:23:49Z</dcterms:created>
  <dcterms:modified xsi:type="dcterms:W3CDTF">2026-02-22T00:05:50Z</dcterms:modified>
</cp:coreProperties>
</file>